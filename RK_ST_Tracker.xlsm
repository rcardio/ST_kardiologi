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 codeName="{52B413DB-416B-A148-0A32-6202AF4EA34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rozh.kader/Downloads/ST_Tracker/"/>
    </mc:Choice>
  </mc:AlternateContent>
  <xr:revisionPtr revIDLastSave="0" documentId="13_ncr:1_{B8B0C6D5-A78F-C446-AE87-649B439DFB59}" xr6:coauthVersionLast="47" xr6:coauthVersionMax="47" xr10:uidLastSave="{00000000-0000-0000-0000-000000000000}"/>
  <bookViews>
    <workbookView xWindow="0" yWindow="760" windowWidth="29400" windowHeight="16660" tabRatio="500" xr2:uid="{00000000-000D-0000-FFFF-FFFF00000000}"/>
  </bookViews>
  <sheets>
    <sheet name="Bakgrund" sheetId="1" r:id="rId1"/>
    <sheet name="Dashboard" sheetId="2" r:id="rId2"/>
    <sheet name="Ej klara" sheetId="20" state="hidden" r:id="rId3"/>
    <sheet name="Tid &amp; placeringar" sheetId="18" r:id="rId4"/>
    <sheet name="Ischemi" sheetId="3" r:id="rId5"/>
    <sheet name="HIA" sheetId="4" r:id="rId6"/>
    <sheet name="Hjärtsvikt &amp; klaff" sheetId="5" r:id="rId7"/>
    <sheet name="Arytmi" sheetId="6" r:id="rId8"/>
    <sheet name="Delmål internmedicin" sheetId="19" r:id="rId9"/>
    <sheet name="Delmål kardiologi" sheetId="8" r:id="rId10"/>
    <sheet name="Källor SvKF 2022" sheetId="17" r:id="rId11"/>
  </sheets>
  <functionGroups builtInGroupCount="19"/>
  <definedNames>
    <definedName name="ST_LANGD">'Tid &amp; placeringar'!$C$7</definedName>
    <definedName name="UPPEHALL_DAGAR">'Tid &amp; placeringar'!$F$26</definedName>
    <definedName name="UPPEHALL_HITTILLS">'Tid &amp; placeringar'!$I$26</definedName>
    <definedName name="_xlnm.Print_Area" localSheetId="7">Arytmi!$B$1:$J$80</definedName>
    <definedName name="_xlnm.Print_Area" localSheetId="5">HIA!$B$1:$K$64</definedName>
    <definedName name="_xlnm.Print_Area" localSheetId="6">'Hjärtsvikt &amp; klaff'!$B$1:$J$71</definedName>
    <definedName name="_xlnm.Print_Area" localSheetId="4">Ischemi!$B$1:$J$97</definedName>
    <definedName name="_xlnm.Print_Titles" localSheetId="10">'Källor SvKF 2022'!$10:$10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H29" i="8" l="1"/>
  <c r="G29" i="8"/>
  <c r="F29" i="8"/>
  <c r="H28" i="8"/>
  <c r="G28" i="8"/>
  <c r="F28" i="8"/>
  <c r="H27" i="8"/>
  <c r="G27" i="8"/>
  <c r="F27" i="8"/>
  <c r="H26" i="8"/>
  <c r="G26" i="8"/>
  <c r="F26" i="8"/>
  <c r="H25" i="8"/>
  <c r="G25" i="8"/>
  <c r="F25" i="8"/>
  <c r="H21" i="8"/>
  <c r="G21" i="8"/>
  <c r="F21" i="8"/>
  <c r="H20" i="8"/>
  <c r="G20" i="8"/>
  <c r="F20" i="8"/>
  <c r="H19" i="8"/>
  <c r="G19" i="8"/>
  <c r="F19" i="8"/>
  <c r="H18" i="8"/>
  <c r="G18" i="8"/>
  <c r="F18" i="8"/>
  <c r="H17" i="8"/>
  <c r="G17" i="8"/>
  <c r="F17" i="8"/>
  <c r="H13" i="8"/>
  <c r="G13" i="8"/>
  <c r="F13" i="8"/>
  <c r="H12" i="8"/>
  <c r="G12" i="8"/>
  <c r="F12" i="8"/>
  <c r="H11" i="8"/>
  <c r="G11" i="8"/>
  <c r="F11" i="8"/>
  <c r="H10" i="8"/>
  <c r="G10" i="8"/>
  <c r="F10" i="8"/>
  <c r="H9" i="8"/>
  <c r="G9" i="8"/>
  <c r="F9" i="8"/>
  <c r="H8" i="8"/>
  <c r="G8" i="8"/>
  <c r="F8" i="8"/>
  <c r="B4" i="8"/>
  <c r="B4" i="19"/>
  <c r="D79" i="6"/>
  <c r="G77" i="6"/>
  <c r="G76" i="6"/>
  <c r="G75" i="6"/>
  <c r="G74" i="6"/>
  <c r="G72" i="6"/>
  <c r="G71" i="6"/>
  <c r="G70" i="6"/>
  <c r="G69" i="6"/>
  <c r="G68" i="6"/>
  <c r="G67" i="6"/>
  <c r="G66" i="6"/>
  <c r="G65" i="6"/>
  <c r="G64" i="6"/>
  <c r="G62" i="6"/>
  <c r="G61" i="6"/>
  <c r="G60" i="6"/>
  <c r="G59" i="6"/>
  <c r="G58" i="6"/>
  <c r="G56" i="6"/>
  <c r="G55" i="6"/>
  <c r="G54" i="6"/>
  <c r="G53" i="6"/>
  <c r="G52" i="6"/>
  <c r="G51" i="6"/>
  <c r="G50" i="6"/>
  <c r="G49" i="6"/>
  <c r="G48" i="6"/>
  <c r="G47" i="6"/>
  <c r="G46" i="6"/>
  <c r="G45" i="6"/>
  <c r="G44" i="6"/>
  <c r="G42" i="6"/>
  <c r="G41" i="6"/>
  <c r="G40" i="6"/>
  <c r="G39" i="6"/>
  <c r="G38" i="6"/>
  <c r="G37" i="6"/>
  <c r="G36" i="6"/>
  <c r="G35" i="6"/>
  <c r="G34" i="6"/>
  <c r="G33" i="6"/>
  <c r="G32" i="6"/>
  <c r="D70" i="5"/>
  <c r="G68" i="5"/>
  <c r="G67" i="5"/>
  <c r="G66" i="5"/>
  <c r="G65" i="5"/>
  <c r="G64" i="5"/>
  <c r="G62" i="5"/>
  <c r="G61" i="5"/>
  <c r="G60" i="5"/>
  <c r="G59" i="5"/>
  <c r="G58" i="5"/>
  <c r="G57" i="5"/>
  <c r="G56" i="5"/>
  <c r="G55" i="5"/>
  <c r="G53" i="5"/>
  <c r="G52" i="5"/>
  <c r="G51" i="5"/>
  <c r="G50" i="5"/>
  <c r="G49" i="5"/>
  <c r="G47" i="5"/>
  <c r="G46" i="5"/>
  <c r="G45" i="5"/>
  <c r="G44" i="5"/>
  <c r="G43" i="5"/>
  <c r="G41" i="5"/>
  <c r="G40" i="5"/>
  <c r="G39" i="5"/>
  <c r="G38" i="5"/>
  <c r="G37" i="5"/>
  <c r="G36" i="5"/>
  <c r="G35" i="5"/>
  <c r="G34" i="5"/>
  <c r="G33" i="5"/>
  <c r="G32" i="5"/>
  <c r="G70" i="5" s="1"/>
  <c r="D17" i="2" s="1"/>
  <c r="G17" i="2" s="1"/>
  <c r="D63" i="4"/>
  <c r="G61" i="4"/>
  <c r="G60" i="4"/>
  <c r="G59" i="4"/>
  <c r="G58" i="4"/>
  <c r="G57" i="4"/>
  <c r="G56" i="4"/>
  <c r="G55" i="4"/>
  <c r="G54" i="4"/>
  <c r="G53" i="4"/>
  <c r="G52" i="4"/>
  <c r="G51" i="4"/>
  <c r="G49" i="4"/>
  <c r="G48" i="4"/>
  <c r="G47" i="4"/>
  <c r="G46" i="4"/>
  <c r="G44" i="4"/>
  <c r="G43" i="4"/>
  <c r="G42" i="4"/>
  <c r="G41" i="4"/>
  <c r="G40" i="4"/>
  <c r="G39" i="4"/>
  <c r="G37" i="4"/>
  <c r="G36" i="4"/>
  <c r="G35" i="4"/>
  <c r="G34" i="4"/>
  <c r="G33" i="4"/>
  <c r="G32" i="4"/>
  <c r="G31" i="4"/>
  <c r="G30" i="4"/>
  <c r="G29" i="4"/>
  <c r="G28" i="4"/>
  <c r="D96" i="3"/>
  <c r="G94" i="3"/>
  <c r="G93" i="3"/>
  <c r="G92" i="3"/>
  <c r="G91" i="3"/>
  <c r="G89" i="3"/>
  <c r="G88" i="3"/>
  <c r="G87" i="3"/>
  <c r="G86" i="3"/>
  <c r="G85" i="3"/>
  <c r="G84" i="3"/>
  <c r="G83" i="3"/>
  <c r="G81" i="3"/>
  <c r="G80" i="3"/>
  <c r="G79" i="3"/>
  <c r="G78" i="3"/>
  <c r="G77" i="3"/>
  <c r="G76" i="3"/>
  <c r="G75" i="3"/>
  <c r="G74" i="3"/>
  <c r="G73" i="3"/>
  <c r="G72" i="3"/>
  <c r="G71" i="3"/>
  <c r="G70" i="3"/>
  <c r="G68" i="3"/>
  <c r="G67" i="3"/>
  <c r="G66" i="3"/>
  <c r="G65" i="3"/>
  <c r="G64" i="3"/>
  <c r="G63" i="3"/>
  <c r="G62" i="3"/>
  <c r="G61" i="3"/>
  <c r="G59" i="3"/>
  <c r="G58" i="3"/>
  <c r="G57" i="3"/>
  <c r="G56" i="3"/>
  <c r="G55" i="3"/>
  <c r="G54" i="3"/>
  <c r="G53" i="3"/>
  <c r="G52" i="3"/>
  <c r="G51" i="3"/>
  <c r="G50" i="3"/>
  <c r="G49" i="3"/>
  <c r="G48" i="3"/>
  <c r="G47" i="3"/>
  <c r="G45" i="3"/>
  <c r="G44" i="3"/>
  <c r="G43" i="3"/>
  <c r="G42" i="3"/>
  <c r="G41" i="3"/>
  <c r="G40" i="3"/>
  <c r="G39" i="3"/>
  <c r="G38" i="3"/>
  <c r="G37" i="3"/>
  <c r="G36" i="3"/>
  <c r="G35" i="3"/>
  <c r="E93" i="18"/>
  <c r="E92" i="18"/>
  <c r="E91" i="18"/>
  <c r="E90" i="18"/>
  <c r="E89" i="18"/>
  <c r="E88" i="18"/>
  <c r="E87" i="18"/>
  <c r="E86" i="18"/>
  <c r="E85" i="18"/>
  <c r="E84" i="18"/>
  <c r="E83" i="18"/>
  <c r="E82" i="18"/>
  <c r="E81" i="18"/>
  <c r="E80" i="18"/>
  <c r="E79" i="18"/>
  <c r="E78" i="18"/>
  <c r="E77" i="18"/>
  <c r="E76" i="18"/>
  <c r="E75" i="18"/>
  <c r="E74" i="18"/>
  <c r="E73" i="18"/>
  <c r="E72" i="18"/>
  <c r="E71" i="18"/>
  <c r="E70" i="18"/>
  <c r="E69" i="18"/>
  <c r="E68" i="18"/>
  <c r="E67" i="18"/>
  <c r="E66" i="18"/>
  <c r="E65" i="18"/>
  <c r="E64" i="18"/>
  <c r="E63" i="18"/>
  <c r="E62" i="18"/>
  <c r="E61" i="18"/>
  <c r="E60" i="18"/>
  <c r="E59" i="18"/>
  <c r="E58" i="18"/>
  <c r="E57" i="18"/>
  <c r="E56" i="18"/>
  <c r="E55" i="18"/>
  <c r="E54" i="18"/>
  <c r="E53" i="18"/>
  <c r="E52" i="18"/>
  <c r="E51" i="18"/>
  <c r="E50" i="18"/>
  <c r="E49" i="18"/>
  <c r="E48" i="18"/>
  <c r="E47" i="18"/>
  <c r="E46" i="18"/>
  <c r="E45" i="18"/>
  <c r="E44" i="18"/>
  <c r="E43" i="18"/>
  <c r="E42" i="18"/>
  <c r="E41" i="18"/>
  <c r="E40" i="18"/>
  <c r="E39" i="18"/>
  <c r="E38" i="18"/>
  <c r="E37" i="18"/>
  <c r="E36" i="18"/>
  <c r="E35" i="18"/>
  <c r="E34" i="18"/>
  <c r="G31" i="18"/>
  <c r="G27" i="2" s="1"/>
  <c r="F31" i="18"/>
  <c r="F27" i="2" s="1"/>
  <c r="E31" i="18"/>
  <c r="E27" i="2" s="1"/>
  <c r="D31" i="18"/>
  <c r="D27" i="2" s="1"/>
  <c r="C31" i="18"/>
  <c r="I25" i="18"/>
  <c r="F25" i="18"/>
  <c r="I24" i="18"/>
  <c r="F24" i="18"/>
  <c r="I23" i="18"/>
  <c r="F23" i="18"/>
  <c r="I22" i="18"/>
  <c r="F22" i="18"/>
  <c r="I21" i="18"/>
  <c r="F21" i="18"/>
  <c r="I20" i="18"/>
  <c r="F20" i="18"/>
  <c r="I19" i="18"/>
  <c r="F19" i="18"/>
  <c r="I18" i="18"/>
  <c r="F18" i="18"/>
  <c r="I17" i="18"/>
  <c r="F17" i="18"/>
  <c r="I16" i="18"/>
  <c r="F16" i="18"/>
  <c r="I15" i="18"/>
  <c r="F15" i="18"/>
  <c r="I14" i="18"/>
  <c r="F14" i="18"/>
  <c r="C6" i="18"/>
  <c r="D32" i="2"/>
  <c r="G32" i="2" s="1"/>
  <c r="C32" i="2"/>
  <c r="E32" i="2" s="1"/>
  <c r="F32" i="2" s="1"/>
  <c r="D31" i="2"/>
  <c r="G31" i="2" s="1"/>
  <c r="C31" i="2"/>
  <c r="E31" i="2" s="1"/>
  <c r="F31" i="2" s="1"/>
  <c r="C17" i="2"/>
  <c r="C10" i="2"/>
  <c r="C11" i="2" s="1"/>
  <c r="C9" i="2"/>
  <c r="C8" i="2"/>
  <c r="C7" i="2"/>
  <c r="C6" i="2"/>
  <c r="B3" i="2"/>
  <c r="C9" i="1"/>
  <c r="C9" i="18" s="1"/>
  <c r="G63" i="4" l="1"/>
  <c r="G96" i="3"/>
  <c r="G79" i="6"/>
  <c r="I26" i="18"/>
  <c r="D8" i="2" s="1"/>
  <c r="F26" i="18"/>
  <c r="H31" i="18"/>
  <c r="B27" i="2" s="1"/>
  <c r="C27" i="2"/>
  <c r="C18" i="2"/>
  <c r="C16" i="2"/>
  <c r="C15" i="2"/>
  <c r="B5" i="2"/>
  <c r="D7" i="2"/>
  <c r="C8" i="18"/>
  <c r="D8" i="18"/>
  <c r="E17" i="2"/>
  <c r="F17" i="2" s="1"/>
  <c r="D71" i="5"/>
  <c r="D16" i="2" l="1"/>
  <c r="D64" i="4"/>
  <c r="D15" i="2"/>
  <c r="D97" i="3"/>
  <c r="D18" i="2"/>
  <c r="D80" i="6"/>
  <c r="E15" i="2"/>
  <c r="F15" i="2" s="1"/>
  <c r="C19" i="2"/>
  <c r="E16" i="2" l="1"/>
  <c r="F16" i="2" s="1"/>
  <c r="G16" i="2"/>
  <c r="D19" i="2"/>
  <c r="G15" i="2"/>
  <c r="E18" i="2"/>
  <c r="F18" i="2" s="1"/>
  <c r="G18" i="2"/>
  <c r="E19" i="2" l="1"/>
  <c r="F19" i="2" s="1"/>
  <c r="G1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Unknown Author</author>
  </authors>
  <commentList>
    <comment ref="C8" authorId="0" shapeId="0" xr:uid="{00000000-0006-0000-0000-000001000000}">
      <text>
        <r>
          <rPr>
            <sz val="10"/>
            <color rgb="FF000000"/>
            <rFont val="Arial"/>
            <family val="2"/>
          </rPr>
          <t xml:space="preserve">Skriv ditt ST-startdatum.
</t>
        </r>
        <r>
          <rPr>
            <sz val="10"/>
            <color rgb="FF000000"/>
            <rFont val="Arial"/>
            <family val="2"/>
          </rPr>
          <t xml:space="preserve">Format: ÅÅÅÅ-MM-DD
</t>
        </r>
        <r>
          <rPr>
            <sz val="10"/>
            <color rgb="FF000000"/>
            <rFont val="Arial"/>
            <family val="2"/>
          </rPr>
          <t xml:space="preserve">Exempel: 2024-09-01
</t>
        </r>
        <r>
          <rPr>
            <sz val="10"/>
            <color rgb="FF000000"/>
            <rFont val="Arial"/>
            <family val="2"/>
          </rPr>
          <t xml:space="preserve">
</t>
        </r>
        <r>
          <rPr>
            <sz val="10"/>
            <color rgb="FF000000"/>
            <rFont val="Arial"/>
            <family val="2"/>
          </rPr>
          <t>Tips: Tryck Ctrl+; för att fylla i dagens datum.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Rozh Kader</author>
  </authors>
  <commentList>
    <comment ref="C25" authorId="0" shapeId="0" xr:uid="{00000000-0006-0000-0300-000001000000}">
      <text>
        <r>
          <rPr>
            <b/>
            <sz val="9"/>
            <color rgb="FF1F4E79"/>
            <rFont val="Arial"/>
            <family val="2"/>
          </rPr>
          <t xml:space="preserve">Bygger på SvKF 2022 – egen formulering/konkretisering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i/>
            <sz val="8"/>
            <color rgb="FF595959"/>
            <rFont val="Arial"/>
            <family val="2"/>
          </rPr>
          <t xml:space="preserve">Inskolningens upplägg (3 veckor) är lokalt.
</t>
        </r>
        <r>
          <rPr>
            <b/>
            <sz val="9"/>
            <color rgb="FF1B3A5C"/>
            <rFont val="Arial"/>
            <family val="2"/>
          </rPr>
          <t xml:space="preserve">
</t>
        </r>
        <r>
          <rPr>
            <b/>
            <sz val="9"/>
            <color rgb="FF1B3A5C"/>
            <rFont val="Arial"/>
            <family val="2"/>
          </rPr>
          <t xml:space="preserve">Plan för genomförande av specialistutbildningen · s. 5
</t>
        </r>
        <r>
          <rPr>
            <sz val="9"/>
            <color rgb="FF000000"/>
            <rFont val="Arial"/>
            <family val="2"/>
          </rPr>
          <t xml:space="preserve">• ST-läkaren ska under utbildningstiden utföra kardiologisk jourtjänstgöring i adekvat omfattning, med självständigt ansvar för hjärtintensivvårdsavdelning (motsvarande minst 50 nätter).
</t>
        </r>
        <r>
          <rPr>
            <b/>
            <sz val="9"/>
            <color rgb="FF1B3A5C"/>
            <rFont val="Arial"/>
            <family val="2"/>
          </rPr>
          <t xml:space="preserve">
</t>
        </r>
        <r>
          <rPr>
            <b/>
            <sz val="9"/>
            <color rgb="FF1B3A5C"/>
            <rFont val="Arial"/>
            <family val="2"/>
          </rPr>
          <t xml:space="preserve">Akut omhändertagande av livshotande kardiologiska tillstånd · s. 8 · Socialstyrelsens mål: STc6
</t>
        </r>
        <r>
          <rPr>
            <sz val="9"/>
            <color rgb="FF000000"/>
            <rFont val="Arial"/>
            <family val="2"/>
          </rPr>
          <t xml:space="preserve">• Omhändertagande vid cirkulationsstillestånd och initiering respektive avbrytande av behandling.
</t>
        </r>
        <r>
          <rPr>
            <sz val="9"/>
            <color rgb="FF000000"/>
            <rFont val="Arial"/>
            <family val="2"/>
          </rPr>
          <t xml:space="preserve">• Bedömning av adekvat vårdnivå för patienter.
</t>
        </r>
        <r>
          <rPr>
            <sz val="9"/>
            <color rgb="FF000000"/>
            <rFont val="Arial"/>
            <family val="2"/>
          </rPr>
          <t xml:space="preserve">• Prehospitalt omhändertagande vid akut hjärtsjukdom och telekardiologisk assistans till ambulanspersonal.
</t>
        </r>
        <r>
          <rPr>
            <sz val="9"/>
            <color rgb="FF000000"/>
            <rFont val="Arial"/>
            <family val="2"/>
          </rPr>
          <t>• Handläggning av patient i samband med akut koronarangiografi och primär PCI.</t>
        </r>
      </text>
    </comment>
    <comment ref="C26" authorId="0" shapeId="0" xr:uid="{00000000-0006-0000-0300-000002000000}">
      <text>
        <r>
          <rPr>
            <b/>
            <sz val="9"/>
            <color rgb="FF2E7D32"/>
            <rFont val="Arial"/>
            <family val="2"/>
          </rPr>
          <t xml:space="preserve">Ordagrant / nära ordagrant ur SvKF 2022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</t>
        </r>
        <r>
          <rPr>
            <b/>
            <sz val="9"/>
            <color rgb="FF1B3A5C"/>
            <rFont val="Arial"/>
            <family val="2"/>
          </rPr>
          <t xml:space="preserve">Invasiv bild- och funktionsdiagnostik · s. 20–21 · Socialstyrelsens mål: STc7, STc8
</t>
        </r>
        <r>
          <rPr>
            <sz val="9"/>
            <color rgb="FF000000"/>
            <rFont val="Arial"/>
            <family val="2"/>
          </rPr>
          <t xml:space="preserve">• Tolka data från högerkammarkateterisering och koronarangiografi.
</t>
        </r>
        <r>
          <rPr>
            <sz val="9"/>
            <color rgb="FF000000"/>
            <rFont val="Arial"/>
            <family val="2"/>
          </rPr>
          <t xml:space="preserve">• Delaktighet vid genomförandet av, och assisterande vid koronarangiografi samt högerkammarkateterisering.
</t>
        </r>
        <r>
          <rPr>
            <b/>
            <sz val="9"/>
            <color rgb="FF1B3A5C"/>
            <rFont val="Arial"/>
            <family val="2"/>
          </rPr>
          <t xml:space="preserve">
</t>
        </r>
        <r>
          <rPr>
            <b/>
            <sz val="9"/>
            <color rgb="FF1B3A5C"/>
            <rFont val="Arial"/>
            <family val="2"/>
          </rPr>
          <t xml:space="preserve">Rekommendationslista – kompetensnivåer för färdigheter · s. 23
</t>
        </r>
        <r>
          <rPr>
            <sz val="9"/>
            <color rgb="FF000000"/>
            <rFont val="Arial"/>
            <family val="2"/>
          </rPr>
          <t xml:space="preserve">• Koronarangiografi, delaktighet vid genomförande — nivå Sverige: 2, ESC: 2
</t>
        </r>
        <r>
          <rPr>
            <sz val="9"/>
            <color rgb="FF000000"/>
            <rFont val="Arial"/>
            <family val="2"/>
          </rPr>
          <t xml:space="preserve">• Koronarangiografi, tolkning — nivå Sverige: 3, ESC: 3
</t>
        </r>
        <r>
          <rPr>
            <b/>
            <sz val="9"/>
            <color rgb="FF1B3A5C"/>
            <rFont val="Arial"/>
            <family val="2"/>
          </rPr>
          <t xml:space="preserve">
</t>
        </r>
        <r>
          <rPr>
            <b/>
            <sz val="9"/>
            <color rgb="FF1B3A5C"/>
            <rFont val="Arial"/>
            <family val="2"/>
          </rPr>
          <t xml:space="preserve">Plan för genomförande av specialistutbildningen · s. 5
</t>
        </r>
        <r>
          <rPr>
            <sz val="9"/>
            <color rgb="FF000000"/>
            <rFont val="Arial"/>
            <family val="2"/>
          </rPr>
          <t xml:space="preserve">• För att uppfylla målen rekommenderar Svenska Kardiologföreningen att man tjänstgör vid enhet vars verksamhet innefattar:
</t>
        </r>
        <r>
          <rPr>
            <sz val="9"/>
            <color rgb="FF000000"/>
            <rFont val="Arial"/>
            <family val="2"/>
          </rPr>
          <t xml:space="preserve">    – HIA eller motsvarande enhet ≥ 12 månader. Denna tjänstgöring bör inkludera minst:
</t>
        </r>
        <r>
          <rPr>
            <sz val="9"/>
            <color rgb="FF000000"/>
            <rFont val="Arial"/>
            <family val="2"/>
          </rPr>
          <t xml:space="preserve">        – PCI-lab ≥ 2 veckor.</t>
        </r>
      </text>
    </comment>
    <comment ref="C27" authorId="0" shapeId="0" xr:uid="{00000000-0006-0000-0300-000003000000}">
      <text>
        <r>
          <rPr>
            <b/>
            <sz val="9"/>
            <color rgb="FF2E7D32"/>
            <rFont val="Arial"/>
            <family val="2"/>
          </rPr>
          <t xml:space="preserve">Ordagrant / nära ordagrant ur SvKF 2022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</t>
        </r>
        <r>
          <rPr>
            <b/>
            <sz val="9"/>
            <color rgb="FF1B3A5C"/>
            <rFont val="Arial"/>
            <family val="2"/>
          </rPr>
          <t xml:space="preserve">Invasiv bild- och funktionsdiagnostik · s. 21 · Socialstyrelsens mål: STc7, STc8
</t>
        </r>
        <r>
          <rPr>
            <sz val="9"/>
            <color rgb="FF000000"/>
            <rFont val="Arial"/>
            <family val="2"/>
          </rPr>
          <t xml:space="preserve">• Utföra/assistera vid anläggande av arteriell access.
</t>
        </r>
        <r>
          <rPr>
            <b/>
            <sz val="9"/>
            <color rgb="FF1B3A5C"/>
            <rFont val="Arial"/>
            <family val="2"/>
          </rPr>
          <t xml:space="preserve">
</t>
        </r>
        <r>
          <rPr>
            <b/>
            <sz val="9"/>
            <color rgb="FF1B3A5C"/>
            <rFont val="Arial"/>
            <family val="2"/>
          </rPr>
          <t xml:space="preserve">Rekommendationslista – kompetensnivåer för färdigheter · s. 23
</t>
        </r>
        <r>
          <rPr>
            <sz val="9"/>
            <color rgb="FF000000"/>
            <rFont val="Arial"/>
            <family val="2"/>
          </rPr>
          <t>• Perifer arteriell och central venös access — nivå Sverige: 3, ESC: N/A</t>
        </r>
      </text>
    </comment>
    <comment ref="C28" authorId="0" shapeId="0" xr:uid="{00000000-0006-0000-0300-000004000000}">
      <text>
        <r>
          <rPr>
            <b/>
            <sz val="9"/>
            <color rgb="FF2E7D32"/>
            <rFont val="Arial"/>
            <family val="2"/>
          </rPr>
          <t xml:space="preserve">Ordagrant / nära ordagrant ur SvKF 2022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</t>
        </r>
        <r>
          <rPr>
            <b/>
            <sz val="9"/>
            <color rgb="FF1B3A5C"/>
            <rFont val="Arial"/>
            <family val="2"/>
          </rPr>
          <t xml:space="preserve">Invasiv bild- och funktionsdiagnostik · s. 21 · Socialstyrelsens mål: STc7, STc8
</t>
        </r>
        <r>
          <rPr>
            <sz val="9"/>
            <color rgb="FF000000"/>
            <rFont val="Arial"/>
            <family val="2"/>
          </rPr>
          <t xml:space="preserve">• Hemostas efter kateterisering.
</t>
        </r>
        <r>
          <rPr>
            <b/>
            <sz val="9"/>
            <color rgb="FF1B3A5C"/>
            <rFont val="Arial"/>
            <family val="2"/>
          </rPr>
          <t xml:space="preserve">
</t>
        </r>
        <r>
          <rPr>
            <b/>
            <sz val="9"/>
            <color rgb="FF1B3A5C"/>
            <rFont val="Arial"/>
            <family val="2"/>
          </rPr>
          <t xml:space="preserve">Rekommendationslista – kompetensnivåer för färdigheter · s. 23
</t>
        </r>
        <r>
          <rPr>
            <sz val="9"/>
            <color rgb="FF000000"/>
            <rFont val="Arial"/>
            <family val="2"/>
          </rPr>
          <t>• Hantering av TR-band, femostop — nivå Sverige: 5, ESC: N/A</t>
        </r>
      </text>
    </comment>
    <comment ref="C29" authorId="0" shapeId="0" xr:uid="{00000000-0006-0000-0300-000005000000}">
      <text>
        <r>
          <rPr>
            <b/>
            <sz val="9"/>
            <color rgb="FF2E7D32"/>
            <rFont val="Arial"/>
            <family val="2"/>
          </rPr>
          <t xml:space="preserve">Ordagrant / nära ordagrant ur SvKF 2022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</t>
        </r>
        <r>
          <rPr>
            <b/>
            <sz val="9"/>
            <color rgb="FF1B3A5C"/>
            <rFont val="Arial"/>
            <family val="2"/>
          </rPr>
          <t xml:space="preserve">Akut omhändertagande av livshotande kardiologiska tillstånd · s. 8 · Socialstyrelsens mål: STc6
</t>
        </r>
        <r>
          <rPr>
            <sz val="9"/>
            <color rgb="FF000000"/>
            <rFont val="Arial"/>
            <family val="2"/>
          </rPr>
          <t xml:space="preserve">• Ischemisk och hemodynamisk monitorering.
</t>
        </r>
        <r>
          <rPr>
            <b/>
            <sz val="9"/>
            <color rgb="FF1B3A5C"/>
            <rFont val="Arial"/>
            <family val="2"/>
          </rPr>
          <t xml:space="preserve">
</t>
        </r>
        <r>
          <rPr>
            <b/>
            <sz val="9"/>
            <color rgb="FF1B3A5C"/>
            <rFont val="Arial"/>
            <family val="2"/>
          </rPr>
          <t xml:space="preserve">Rekommendationslista – kompetensnivåer för färdigheter · s. 23
</t>
        </r>
        <r>
          <rPr>
            <sz val="9"/>
            <color rgb="FF000000"/>
            <rFont val="Arial"/>
            <family val="2"/>
          </rPr>
          <t>• Ischemisk monitorering — nivå Sverige: 5, ESC: N/A</t>
        </r>
      </text>
    </comment>
    <comment ref="C35" authorId="0" shapeId="0" xr:uid="{00000000-0006-0000-0300-000006000000}">
      <text>
        <r>
          <rPr>
            <b/>
            <sz val="9"/>
            <color rgb="FF1F4E79"/>
            <rFont val="Arial"/>
            <family val="2"/>
          </rPr>
          <t xml:space="preserve">Bygger på SvKF 2022 – egen formulering/konkretisering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i/>
            <sz val="8"/>
            <color rgb="FF595959"/>
            <rFont val="Arial"/>
            <family val="2"/>
          </rPr>
          <t xml:space="preserve">Konkretisering av patofysiologin vid AKS och KKS.
</t>
        </r>
        <r>
          <rPr>
            <b/>
            <sz val="9"/>
            <color rgb="FF1B3A5C"/>
            <rFont val="Arial"/>
            <family val="2"/>
          </rPr>
          <t xml:space="preserve">
Akut koronart syndrom (AKS) · s. 9 · Socialstyrelsens mål: STc7
</t>
        </r>
        <r>
          <rPr>
            <sz val="9"/>
            <color rgb="FF000000"/>
            <rFont val="Arial"/>
            <family val="2"/>
          </rPr>
          <t xml:space="preserve">• Patofysiologi vid AKS för aterosklerotiska och icke-aterosklerotiska tillstånd, samt differentialdiagnostik vid AKS.
</t>
        </r>
        <r>
          <rPr>
            <b/>
            <sz val="9"/>
            <color rgb="FF1B3A5C"/>
            <rFont val="Arial"/>
            <family val="2"/>
          </rPr>
          <t xml:space="preserve">
Kronisk koronart syndrom (stabil kranskärlssjukdom) · s. 9 · Socialstyrelsens mål: STc7
</t>
        </r>
        <r>
          <rPr>
            <sz val="9"/>
            <color rgb="FF000000"/>
            <rFont val="Arial"/>
            <family val="2"/>
          </rPr>
          <t>• Klassifikation, epidemiologi, orsaker, patofysiologi, klinisk bild och differentialdiagnoser vid kronisk kranskärlssjukdom.</t>
        </r>
      </text>
    </comment>
    <comment ref="C36" authorId="0" shapeId="0" xr:uid="{00000000-0006-0000-0300-000007000000}">
      <text>
        <r>
          <rPr>
            <b/>
            <sz val="9"/>
            <color rgb="FF2E7D32"/>
            <rFont val="Arial"/>
            <family val="2"/>
          </rPr>
          <t xml:space="preserve">Ordagrant / nära ordagrant ur SvKF 2022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i/>
            <sz val="8"/>
            <color rgb="FF595959"/>
            <rFont val="Arial"/>
            <family val="2"/>
          </rPr>
          <t xml:space="preserve">Sammanslagen av delmål i kapitlen AKS och Akut omhändertagande.
</t>
        </r>
        <r>
          <rPr>
            <b/>
            <sz val="9"/>
            <color rgb="FF1B3A5C"/>
            <rFont val="Arial"/>
            <family val="2"/>
          </rPr>
          <t xml:space="preserve">
Akut koronart syndrom (AKS) · s. 9 · Socialstyrelsens mål: STc7
</t>
        </r>
        <r>
          <rPr>
            <sz val="9"/>
            <color rgb="FF000000"/>
            <rFont val="Arial"/>
            <family val="2"/>
          </rPr>
          <t xml:space="preserve">• Patofysiologi vid AKS för aterosklerotiska och icke-aterosklerotiska tillstånd, samt differentialdiagnostik vid AKS.
• Diagnostik av AKS inkluderande anamnes, status, klinisk bild, EKG, ischemimonitorering och biokemiska markörer, samt klassifikation av hjärtinfarkt.
</t>
        </r>
        <r>
          <rPr>
            <b/>
            <sz val="9"/>
            <color rgb="FF1B3A5C"/>
            <rFont val="Arial"/>
            <family val="2"/>
          </rPr>
          <t xml:space="preserve">
Akut omhändertagande av livshotande kardiologiska tillstånd · s. 8 · Socialstyrelsens mål: STc6
</t>
        </r>
        <r>
          <rPr>
            <sz val="9"/>
            <color rgb="FF000000"/>
            <rFont val="Arial"/>
            <family val="2"/>
          </rPr>
          <t>• Klassifikation, epidemiologi, orsaker, patofysiologi, klinisk bild, differentialdiagnoser, diagnostik, behandling och prognos vid hjärtstillestånd, akuta hjärtsjukdomar och mekaniska komplikationer.</t>
        </r>
      </text>
    </comment>
    <comment ref="C37" authorId="0" shapeId="0" xr:uid="{00000000-0006-0000-0300-000008000000}">
      <text>
        <r>
          <rPr>
            <b/>
            <sz val="9"/>
            <color rgb="FF2E7D32"/>
            <rFont val="Arial"/>
            <family val="2"/>
          </rPr>
          <t xml:space="preserve">Ordagrant / nära ordagrant ur SvKF 2022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i/>
            <sz val="8"/>
            <color rgb="FF595959"/>
            <rFont val="Arial"/>
            <family val="2"/>
          </rPr>
          <t xml:space="preserve">Exemplen i parentes är tillagda.
</t>
        </r>
        <r>
          <rPr>
            <b/>
            <sz val="9"/>
            <color rgb="FF1B3A5C"/>
            <rFont val="Arial"/>
            <family val="2"/>
          </rPr>
          <t xml:space="preserve">
Kronisk koronart syndrom (stabil kranskärlssjukdom) · s. 9 · Socialstyrelsens mål: STc7
</t>
        </r>
        <r>
          <rPr>
            <sz val="9"/>
            <color rgb="FF000000"/>
            <rFont val="Arial"/>
            <family val="2"/>
          </rPr>
          <t>• Klassifikation, epidemiologi, orsaker, patofysiologi, klinisk bild och differentialdiagnoser vid kronisk kranskärlssjukdom.</t>
        </r>
      </text>
    </comment>
    <comment ref="C38" authorId="0" shapeId="0" xr:uid="{00000000-0006-0000-0300-000009000000}">
      <text>
        <r>
          <rPr>
            <b/>
            <sz val="9"/>
            <color rgb="FF2E7D32"/>
            <rFont val="Arial"/>
            <family val="2"/>
          </rPr>
          <t xml:space="preserve">Ordagrant / nära ordagrant ur SvKF 2022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Akut koronart syndrom (AKS) · s. 9 · Socialstyrelsens mål: STc7
</t>
        </r>
        <r>
          <rPr>
            <sz val="9"/>
            <color rgb="FF000000"/>
            <rFont val="Arial"/>
            <family val="2"/>
          </rPr>
          <t>• Diagnostik av AKS inkluderande anamnes, status, klinisk bild, EKG, ischemimonitorering och biokemiska markörer, samt klassifikation av hjärtinfarkt.</t>
        </r>
      </text>
    </comment>
    <comment ref="C39" authorId="0" shapeId="0" xr:uid="{00000000-0006-0000-0300-00000A000000}">
      <text>
        <r>
          <rPr>
            <b/>
            <sz val="9"/>
            <color rgb="FF1F4E79"/>
            <rFont val="Arial"/>
            <family val="2"/>
          </rPr>
          <t xml:space="preserve">Bygger på SvKF 2022 – egen formulering/konkretisering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Invasiv bild- och funktionsdiagnostik · s. 20 · Socialstyrelsens mål: STc7, STc8
</t>
        </r>
        <r>
          <rPr>
            <sz val="9"/>
            <color rgb="FF000000"/>
            <rFont val="Arial"/>
            <family val="2"/>
          </rPr>
          <t xml:space="preserve">• Radiologisk anatomi av hjärta, aorta, anslutande stora kärl, koronarkärl liksom femoralis-, radialis- och brachialisartärer (vaskulära accesskärl).
</t>
        </r>
        <r>
          <rPr>
            <b/>
            <sz val="9"/>
            <color rgb="FF1B3A5C"/>
            <rFont val="Arial"/>
            <family val="2"/>
          </rPr>
          <t xml:space="preserve">
Medfödda hjärtfel hos vuxna (ACHD) · s. 16 · Socialstyrelsens mål: STc10
</t>
        </r>
        <r>
          <rPr>
            <sz val="9"/>
            <color rgb="FF000000"/>
            <rFont val="Arial"/>
            <family val="2"/>
          </rPr>
          <t>• Patofysiologi och basal kunskap om:
    – Kongenitala malformationer av kranskärlen.</t>
        </r>
      </text>
    </comment>
    <comment ref="C40" authorId="0" shapeId="0" xr:uid="{00000000-0006-0000-0300-00000B000000}">
      <text>
        <r>
          <rPr>
            <b/>
            <sz val="9"/>
            <color rgb="FF1F4E79"/>
            <rFont val="Arial"/>
            <family val="2"/>
          </rPr>
          <t xml:space="preserve">Bygger på SvKF 2022 – egen formulering/konkretisering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Myokarditer · s. 15 · Socialstyrelsens mål: STc8, STc10
</t>
        </r>
        <r>
          <rPr>
            <sz val="9"/>
            <color rgb="FF000000"/>
            <rFont val="Arial"/>
            <family val="2"/>
          </rPr>
          <t xml:space="preserve">• Definition, orsaker, kliniska tecken, symtom, patologi, utredning, prognos och diagnostiska kriterier för infektiös och icke-infektiös myokardit.
</t>
        </r>
        <r>
          <rPr>
            <b/>
            <sz val="9"/>
            <color rgb="FF1B3A5C"/>
            <rFont val="Arial"/>
            <family val="2"/>
          </rPr>
          <t xml:space="preserve">
Perikardsjukdom · s. 14 · Socialstyrelsens mål: STc8, STc10
</t>
        </r>
        <r>
          <rPr>
            <sz val="9"/>
            <color rgb="FF000000"/>
            <rFont val="Arial"/>
            <family val="2"/>
          </rPr>
          <t>• Epidemiologi, patofysiologi, symtom, differentialdiagnoser, undersökningsmetoder, behandlingsprinciper, komplikationer och prognos vid akut samt kronisk perikardit
• Basal kännedom om konstriktiv perikardit.</t>
        </r>
      </text>
    </comment>
    <comment ref="C41" authorId="0" shapeId="0" xr:uid="{00000000-0006-0000-0300-00000C000000}">
      <text>
        <r>
          <rPr>
            <b/>
            <sz val="9"/>
            <color rgb="FF1F4E79"/>
            <rFont val="Arial"/>
            <family val="2"/>
          </rPr>
          <t xml:space="preserve">Bygger på SvKF 2022 – egen formulering/konkretisering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i/>
            <sz val="8"/>
            <color rgb="FF595959"/>
            <rFont val="Arial"/>
            <family val="2"/>
          </rPr>
          <t xml:space="preserve">Läkemedelsexemplen är tillagda.
</t>
        </r>
        <r>
          <rPr>
            <b/>
            <sz val="9"/>
            <color rgb="FF1B3A5C"/>
            <rFont val="Arial"/>
            <family val="2"/>
          </rPr>
          <t xml:space="preserve">
Klinisk farmakologi · s. 19 · Socialstyrelsens mål: ingår i de flesta c-målen
</t>
        </r>
        <r>
          <rPr>
            <sz val="9"/>
            <color rgb="FF000000"/>
            <rFont val="Arial"/>
            <family val="2"/>
          </rPr>
          <t>• Indikationer/kontraindikationer, farmakokinetik, verkningsmekanismer, vanliga och/eller allvarliga interaktioner, biverkningar och toxiska effekter för kardiovaskulära läkemedel, med fokus på följande grupper:
    – Antikoagulantia.
    – Trombocythämmare.</t>
        </r>
      </text>
    </comment>
    <comment ref="C42" authorId="0" shapeId="0" xr:uid="{00000000-0006-0000-0300-00000D000000}">
      <text>
        <r>
          <rPr>
            <b/>
            <sz val="9"/>
            <color rgb="FF1F4E79"/>
            <rFont val="Arial"/>
            <family val="2"/>
          </rPr>
          <t xml:space="preserve">Bygger på SvKF 2022 – egen formulering/konkretisering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i/>
            <sz val="8"/>
            <color rgb="FF595959"/>
            <rFont val="Arial"/>
            <family val="2"/>
          </rPr>
          <t xml:space="preserve">Läkemedelsexemplen är tillagda.
</t>
        </r>
        <r>
          <rPr>
            <b/>
            <sz val="9"/>
            <color rgb="FF1B3A5C"/>
            <rFont val="Arial"/>
            <family val="2"/>
          </rPr>
          <t xml:space="preserve">
Klinisk farmakologi · s. 19 · Socialstyrelsens mål: ingår i de flesta c-målen
</t>
        </r>
        <r>
          <rPr>
            <sz val="9"/>
            <color rgb="FF000000"/>
            <rFont val="Arial"/>
            <family val="2"/>
          </rPr>
          <t>• Indikationer/kontraindikationer, farmakokinetik, verkningsmekanismer, vanliga och/eller allvarliga interaktioner, biverkningar och toxiska effekter för kardiovaskulära läkemedel, med fokus på följande grupper:
    – Beta- och alfareceptorblockad.
    – Kalciumantagonister.
    – Nitrater.</t>
        </r>
      </text>
    </comment>
    <comment ref="C43" authorId="0" shapeId="0" xr:uid="{00000000-0006-0000-0300-00000E000000}">
      <text>
        <r>
          <rPr>
            <b/>
            <sz val="9"/>
            <color rgb="FF1F4E79"/>
            <rFont val="Arial"/>
            <family val="2"/>
          </rPr>
          <t xml:space="preserve">Bygger på SvKF 2022 – egen formulering/konkretisering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i/>
            <sz val="8"/>
            <color rgb="FF595959"/>
            <rFont val="Arial"/>
            <family val="2"/>
          </rPr>
          <t xml:space="preserve">Läkemedelsexemplen är tillagda.
</t>
        </r>
        <r>
          <rPr>
            <b/>
            <sz val="9"/>
            <color rgb="FF1B3A5C"/>
            <rFont val="Arial"/>
            <family val="2"/>
          </rPr>
          <t xml:space="preserve">
Klinisk farmakologi · s. 19 · Socialstyrelsens mål: ingår i de flesta c-målen
</t>
        </r>
        <r>
          <rPr>
            <sz val="9"/>
            <color rgb="FF000000"/>
            <rFont val="Arial"/>
            <family val="2"/>
          </rPr>
          <t xml:space="preserve">• Indikationer/kontraindikationer, farmakokinetik, verkningsmekanismer, vanliga och/eller allvarliga interaktioner, biverkningar och toxiska effekter för kardiovaskulära läkemedel, med fokus på följande grupper:
    – Lipidsänkare.
</t>
        </r>
        <r>
          <rPr>
            <b/>
            <sz val="9"/>
            <color rgb="FF1B3A5C"/>
            <rFont val="Arial"/>
            <family val="2"/>
          </rPr>
          <t xml:space="preserve">
Preventiv kardiologi · s. 18 · Socialstyrelsens mål: STc12
</t>
        </r>
        <r>
          <rPr>
            <sz val="9"/>
            <color rgb="FF000000"/>
            <rFont val="Arial"/>
            <family val="2"/>
          </rPr>
          <t>• Utredning och behandling avseende:
    – Dyslipidemier.</t>
        </r>
      </text>
    </comment>
    <comment ref="C44" authorId="0" shapeId="0" xr:uid="{00000000-0006-0000-0300-00000F000000}">
      <text>
        <r>
          <rPr>
            <b/>
            <sz val="9"/>
            <color rgb="FF2E7D32"/>
            <rFont val="Arial"/>
            <family val="2"/>
          </rPr>
          <t xml:space="preserve">Ordagrant / nära ordagrant ur SvKF 2022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i/>
            <sz val="8"/>
            <color rgb="FF595959"/>
            <rFont val="Arial"/>
            <family val="2"/>
          </rPr>
          <t xml:space="preserve">Exemplen i parentes är tillagda.
</t>
        </r>
        <r>
          <rPr>
            <b/>
            <sz val="9"/>
            <color rgb="FF1B3A5C"/>
            <rFont val="Arial"/>
            <family val="2"/>
          </rPr>
          <t xml:space="preserve">
Aortasjukdomar · s. 13 · Socialstyrelsens mål: STc6, STc11
</t>
        </r>
        <r>
          <rPr>
            <sz val="9"/>
            <color rgb="FF000000"/>
            <rFont val="Arial"/>
            <family val="2"/>
          </rPr>
          <t>• Klassifikation, epidemiologi, orsaker, patofysiologi, klinisk bild, differentialdiagnoser, diagnostik, behandling, prognos och uppföljning vid thorakal aortasjukdom.
• Akut omhändertagande av patient med akut aortasyndrom.</t>
        </r>
      </text>
    </comment>
    <comment ref="C45" authorId="0" shapeId="0" xr:uid="{00000000-0006-0000-0300-000010000000}">
      <text>
        <r>
          <rPr>
            <b/>
            <sz val="9"/>
            <color rgb="FF2E7D32"/>
            <rFont val="Arial"/>
            <family val="2"/>
          </rPr>
          <t xml:space="preserve">Ordagrant / nära ordagrant ur SvKF 2022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Graviditet och hjärtsjukdom · s. 17 · Socialstyrelsens mål: STc10
</t>
        </r>
        <r>
          <rPr>
            <sz val="9"/>
            <color rgb="FF000000"/>
            <rFont val="Arial"/>
            <family val="2"/>
          </rPr>
          <t>• Redogöra för hur graviditet, förlossning och postpartumperiod påverkar hemodynamik hos den friska kvinnan samt kvinnor med hjärtsjukdom eller aortasjukdom.</t>
        </r>
      </text>
    </comment>
    <comment ref="C47" authorId="0" shapeId="0" xr:uid="{00000000-0006-0000-0300-000011000000}">
      <text>
        <r>
          <rPr>
            <b/>
            <sz val="9"/>
            <color rgb="FF1F4E79"/>
            <rFont val="Arial"/>
            <family val="2"/>
          </rPr>
          <t xml:space="preserve">Bygger på SvKF 2022 – egen formulering/konkretisering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Akut koronart syndrom (AKS) · s. 9 · Socialstyrelsens mål: STc7
</t>
        </r>
        <r>
          <rPr>
            <sz val="9"/>
            <color rgb="FF000000"/>
            <rFont val="Arial"/>
            <family val="2"/>
          </rPr>
          <t xml:space="preserve">• Diagnostik av AKS inkluderande anamnes, status, klinisk bild, EKG, ischemimonitorering och biokemiska markörer, samt klassifikation av hjärtinfarkt.
</t>
        </r>
        <r>
          <rPr>
            <b/>
            <sz val="9"/>
            <color rgb="FF1B3A5C"/>
            <rFont val="Arial"/>
            <family val="2"/>
          </rPr>
          <t xml:space="preserve">
Noninvasiv bild- och funktionsdiagnostik › Utföra och tolka · s. 20 · Socialstyrelsens mål: STc7
</t>
        </r>
        <r>
          <rPr>
            <sz val="9"/>
            <color rgb="FF000000"/>
            <rFont val="Arial"/>
            <family val="2"/>
          </rPr>
          <t xml:space="preserve">• EKG.
</t>
        </r>
        <r>
          <rPr>
            <b/>
            <sz val="9"/>
            <color rgb="FF1B3A5C"/>
            <rFont val="Arial"/>
            <family val="2"/>
          </rPr>
          <t xml:space="preserve">
Akut omhändertagande av livshotande kardiologiska tillstånd · s. 8 · Socialstyrelsens mål: STc6
</t>
        </r>
        <r>
          <rPr>
            <sz val="9"/>
            <color rgb="FF000000"/>
            <rFont val="Arial"/>
            <family val="2"/>
          </rPr>
          <t>• Ischemisk och hemodynamisk monitorering.</t>
        </r>
      </text>
    </comment>
    <comment ref="C48" authorId="0" shapeId="0" xr:uid="{00000000-0006-0000-0300-000012000000}">
      <text>
        <r>
          <rPr>
            <b/>
            <sz val="9"/>
            <color rgb="FF1F4E79"/>
            <rFont val="Arial"/>
            <family val="2"/>
          </rPr>
          <t xml:space="preserve">Bygger på SvKF 2022 – egen formulering/konkretisering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i/>
            <sz val="8"/>
            <color rgb="FF595959"/>
            <rFont val="Arial"/>
            <family val="2"/>
          </rPr>
          <t xml:space="preserve">Egen sammanslagning av differentialdiagnostik vid AKS och KKS till bröstsmärta.
</t>
        </r>
        <r>
          <rPr>
            <b/>
            <sz val="9"/>
            <color rgb="FF1B3A5C"/>
            <rFont val="Arial"/>
            <family val="2"/>
          </rPr>
          <t xml:space="preserve">
Akut koronart syndrom (AKS) · s. 9 · Socialstyrelsens mål: STc7
</t>
        </r>
        <r>
          <rPr>
            <sz val="9"/>
            <color rgb="FF000000"/>
            <rFont val="Arial"/>
            <family val="2"/>
          </rPr>
          <t xml:space="preserve">• Patofysiologi vid AKS för aterosklerotiska och icke-aterosklerotiska tillstånd, samt differentialdiagnostik vid AKS.
</t>
        </r>
        <r>
          <rPr>
            <b/>
            <sz val="9"/>
            <color rgb="FF1B3A5C"/>
            <rFont val="Arial"/>
            <family val="2"/>
          </rPr>
          <t xml:space="preserve">
Kronisk koronart syndrom (stabil kranskärlssjukdom) · s. 9 · Socialstyrelsens mål: STc7
</t>
        </r>
        <r>
          <rPr>
            <sz val="9"/>
            <color rgb="FF000000"/>
            <rFont val="Arial"/>
            <family val="2"/>
          </rPr>
          <t xml:space="preserve">• Klassifikation, epidemiologi, orsaker, patofysiologi, klinisk bild och differentialdiagnoser vid kronisk kranskärlssjukdom.
</t>
        </r>
        <r>
          <rPr>
            <b/>
            <sz val="9"/>
            <color rgb="FF1B3A5C"/>
            <rFont val="Arial"/>
            <family val="2"/>
          </rPr>
          <t xml:space="preserve">
Akut omhändertagande av livshotande kardiologiska tillstånd · s. 8 · Socialstyrelsens mål: STc6
</t>
        </r>
        <r>
          <rPr>
            <sz val="9"/>
            <color rgb="FF000000"/>
            <rFont val="Arial"/>
            <family val="2"/>
          </rPr>
          <t xml:space="preserve">• Klassifikation, epidemiologi, orsaker, patofysiologi, klinisk bild, differentialdiagnoser, diagnostik, behandling och prognos vid hjärtstillestånd, akuta hjärtsjukdomar och mekaniska komplikationer.
</t>
        </r>
        <r>
          <rPr>
            <b/>
            <sz val="9"/>
            <color rgb="FF1B3A5C"/>
            <rFont val="Arial"/>
            <family val="2"/>
          </rPr>
          <t xml:space="preserve">
Aortasjukdomar · s. 13 · Socialstyrelsens mål: STc6, STc11
</t>
        </r>
        <r>
          <rPr>
            <sz val="9"/>
            <color rgb="FF000000"/>
            <rFont val="Arial"/>
            <family val="2"/>
          </rPr>
          <t xml:space="preserve">• Klassifikation, epidemiologi, orsaker, patofysiologi, klinisk bild, differentialdiagnoser, diagnostik, behandling, prognos och uppföljning vid thorakal aortasjukdom.
</t>
        </r>
        <r>
          <rPr>
            <b/>
            <sz val="9"/>
            <color rgb="FF1B3A5C"/>
            <rFont val="Arial"/>
            <family val="2"/>
          </rPr>
          <t xml:space="preserve">
Venös tromboembolism · s. 13 · Socialstyrelsens mål: STc6
</t>
        </r>
        <r>
          <rPr>
            <sz val="9"/>
            <color rgb="FF000000"/>
            <rFont val="Arial"/>
            <family val="2"/>
          </rPr>
          <t xml:space="preserve">• Epidemiologi, riskfaktorer, patofysiologi, symtomatologi, diagnostik, behandling och prevention av venös tromboembolism, inklusive akut tromboflebit, djup ventrombos, akut lungemboli och kronisk tromboembolisk pulmonell hypertension.
</t>
        </r>
        <r>
          <rPr>
            <b/>
            <sz val="9"/>
            <color rgb="FF1B3A5C"/>
            <rFont val="Arial"/>
            <family val="2"/>
          </rPr>
          <t xml:space="preserve">
Perikardsjukdom · s. 14 · Socialstyrelsens mål: STc8, STc10
</t>
        </r>
        <r>
          <rPr>
            <sz val="9"/>
            <color rgb="FF000000"/>
            <rFont val="Arial"/>
            <family val="2"/>
          </rPr>
          <t>• Epidemiologi, patofysiologi, symtom, differentialdiagnoser, undersökningsmetoder, behandlingsprinciper, komplikationer och prognos vid akut samt kronisk perikardit</t>
        </r>
      </text>
    </comment>
    <comment ref="C49" authorId="0" shapeId="0" xr:uid="{00000000-0006-0000-0300-000013000000}">
      <text>
        <r>
          <rPr>
            <b/>
            <sz val="9"/>
            <color rgb="FF1F4E79"/>
            <rFont val="Arial"/>
            <family val="2"/>
          </rPr>
          <t xml:space="preserve">Bygger på SvKF 2022 – egen formulering/konkretisering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Kronisk koronart syndrom (stabil kranskärlssjukdom) · s. 9 · Socialstyrelsens mål: STc7
</t>
        </r>
        <r>
          <rPr>
            <sz val="9"/>
            <color rgb="FF000000"/>
            <rFont val="Arial"/>
            <family val="2"/>
          </rPr>
          <t>• Klassifikation, epidemiologi, orsaker, patofysiologi, klinisk bild och differentialdiagnoser vid kronisk kranskärlssjukdom.
• Invasiva och noninvasiva diagnostiska undersökningsmetoder för att utvärdera ischemi, viabilitet, hjärtmorfologi och hjärtfunktion samt kranskärlsanatomi.</t>
        </r>
      </text>
    </comment>
    <comment ref="C50" authorId="0" shapeId="0" xr:uid="{00000000-0006-0000-0300-000014000000}">
      <text>
        <r>
          <rPr>
            <b/>
            <sz val="9"/>
            <color rgb="FF1F4E79"/>
            <rFont val="Arial"/>
            <family val="2"/>
          </rPr>
          <t xml:space="preserve">Bygger på SvKF 2022 – egen formulering/konkretisering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i/>
            <sz val="8"/>
            <color rgb="FF595959"/>
            <rFont val="Arial"/>
            <family val="2"/>
          </rPr>
          <t xml:space="preserve">MINOCA nämns inte med namn i SvKF 2022.
</t>
        </r>
        <r>
          <rPr>
            <b/>
            <sz val="9"/>
            <color rgb="FF1B3A5C"/>
            <rFont val="Arial"/>
            <family val="2"/>
          </rPr>
          <t xml:space="preserve">
Akut koronart syndrom (AKS) · s. 9 · Socialstyrelsens mål: STc7
</t>
        </r>
        <r>
          <rPr>
            <sz val="9"/>
            <color rgb="FF000000"/>
            <rFont val="Arial"/>
            <family val="2"/>
          </rPr>
          <t>• Patofysiologi vid AKS för aterosklerotiska och icke-aterosklerotiska tillstånd, samt differentialdiagnostik vid AKS.
• Diagnostiska undersökningsmetoder för att utvärdera ischemi, viabilitet, hjärtmorfologi, funktion samt kranskärlsanatomi.</t>
        </r>
      </text>
    </comment>
    <comment ref="C51" authorId="0" shapeId="0" xr:uid="{00000000-0006-0000-0300-000015000000}">
      <text>
        <r>
          <rPr>
            <b/>
            <sz val="9"/>
            <color rgb="FF1F4E79"/>
            <rFont val="Arial"/>
            <family val="2"/>
          </rPr>
          <t xml:space="preserve">Bygger på SvKF 2022 – egen formulering/konkretisering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Akut koronart syndrom (AKS) · s. 9 · Socialstyrelsens mål: STc7
</t>
        </r>
        <r>
          <rPr>
            <sz val="9"/>
            <color rgb="FF000000"/>
            <rFont val="Arial"/>
            <family val="2"/>
          </rPr>
          <t>• Diagnostik av AKS inkluderande anamnes, status, klinisk bild, EKG, ischemimonitorering och biokemiska markörer, samt klassifikation av hjärtinfarkt.</t>
        </r>
      </text>
    </comment>
    <comment ref="C52" authorId="0" shapeId="0" xr:uid="{00000000-0006-0000-0300-000016000000}">
      <text>
        <r>
          <rPr>
            <b/>
            <sz val="9"/>
            <color rgb="FF1F4E79"/>
            <rFont val="Arial"/>
            <family val="2"/>
          </rPr>
          <t xml:space="preserve">Bygger på SvKF 2022 – egen formulering/konkretisering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Kronisk koronart syndrom (stabil kranskärlssjukdom) · s. 9 · Socialstyrelsens mål: STc7
</t>
        </r>
        <r>
          <rPr>
            <sz val="9"/>
            <color rgb="FF000000"/>
            <rFont val="Arial"/>
            <family val="2"/>
          </rPr>
          <t xml:space="preserve">• Invasiva och noninvasiva diagnostiska undersökningsmetoder för att utvärdera ischemi, viabilitet, hjärtmorfologi och hjärtfunktion samt kranskärlsanatomi.
</t>
        </r>
        <r>
          <rPr>
            <b/>
            <sz val="9"/>
            <color rgb="FF1B3A5C"/>
            <rFont val="Arial"/>
            <family val="2"/>
          </rPr>
          <t xml:space="preserve">
Noninvasiv bild- och funktionsdiagnostik › Allmänt · s. 20 · Socialstyrelsens mål: STc7
</t>
        </r>
        <r>
          <rPr>
            <sz val="9"/>
            <color rgb="FF000000"/>
            <rFont val="Arial"/>
            <family val="2"/>
          </rPr>
          <t xml:space="preserve">• Indikationer, kontraindikationer, styrkor och begränsningar, samt komplikationer till noninvasiva undersökningar.
</t>
        </r>
        <r>
          <rPr>
            <b/>
            <sz val="9"/>
            <color rgb="FF1B3A5C"/>
            <rFont val="Arial"/>
            <family val="2"/>
          </rPr>
          <t xml:space="preserve">
Noninvasiv bild- och funktionsdiagnostik › Utföra och tolka · s. 20 · Socialstyrelsens mål: STc7
</t>
        </r>
        <r>
          <rPr>
            <sz val="9"/>
            <color rgb="FF000000"/>
            <rFont val="Arial"/>
            <family val="2"/>
          </rPr>
          <t xml:space="preserve">• Arbetsprov.
• Stress-ekokardiografi.
</t>
        </r>
        <r>
          <rPr>
            <b/>
            <sz val="9"/>
            <color rgb="FF1B3A5C"/>
            <rFont val="Arial"/>
            <family val="2"/>
          </rPr>
          <t xml:space="preserve">
Noninvasiv bild- och funktionsdiagnostik › Grundläggande bildtolkning · s. 20 · Socialstyrelsens mål: STc7
</t>
        </r>
        <r>
          <rPr>
            <sz val="9"/>
            <color rgb="FF000000"/>
            <rFont val="Arial"/>
            <family val="2"/>
          </rPr>
          <t>• Magnetresonanstomografi (MR)
• Nuklearmedicinsk bilddiagnostik (scintigrafi och positionemissionstomografi (PET)).</t>
        </r>
      </text>
    </comment>
    <comment ref="C53" authorId="0" shapeId="0" xr:uid="{00000000-0006-0000-0300-000017000000}">
      <text>
        <r>
          <rPr>
            <b/>
            <sz val="9"/>
            <color rgb="FF1F4E79"/>
            <rFont val="Arial"/>
            <family val="2"/>
          </rPr>
          <t xml:space="preserve">Bygger på SvKF 2022 – egen formulering/konkretisering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Kronisk koronart syndrom (stabil kranskärlssjukdom) · s. 9 · Socialstyrelsens mål: STc7
</t>
        </r>
        <r>
          <rPr>
            <sz val="9"/>
            <color rgb="FF000000"/>
            <rFont val="Arial"/>
            <family val="2"/>
          </rPr>
          <t xml:space="preserve">• Invasiva och noninvasiva diagnostiska undersökningsmetoder för att utvärdera ischemi, viabilitet, hjärtmorfologi och hjärtfunktion samt kranskärlsanatomi.
</t>
        </r>
        <r>
          <rPr>
            <b/>
            <sz val="9"/>
            <color rgb="FF1B3A5C"/>
            <rFont val="Arial"/>
            <family val="2"/>
          </rPr>
          <t xml:space="preserve">
Noninvasiv bild- och funktionsdiagnostik › Allmänt · s. 20 · Socialstyrelsens mål: STc7
</t>
        </r>
        <r>
          <rPr>
            <sz val="9"/>
            <color rgb="FF000000"/>
            <rFont val="Arial"/>
            <family val="2"/>
          </rPr>
          <t xml:space="preserve">• Indikationer, kontraindikationer, styrkor och begränsningar, samt komplikationer till noninvasiva undersökningar.
</t>
        </r>
        <r>
          <rPr>
            <b/>
            <sz val="9"/>
            <color rgb="FF1B3A5C"/>
            <rFont val="Arial"/>
            <family val="2"/>
          </rPr>
          <t xml:space="preserve">
Noninvasiv bild- och funktionsdiagnostik › Grundläggande bildtolkning · s. 20 · Socialstyrelsens mål: STc7
</t>
        </r>
        <r>
          <rPr>
            <sz val="9"/>
            <color rgb="FF000000"/>
            <rFont val="Arial"/>
            <family val="2"/>
          </rPr>
          <t>• Datortomografi (DT), inklusive koronar kalciumscore och FFR (fractional flow reserve)</t>
        </r>
      </text>
    </comment>
    <comment ref="C54" authorId="0" shapeId="0" xr:uid="{00000000-0006-0000-0300-000018000000}">
      <text>
        <r>
          <rPr>
            <b/>
            <sz val="9"/>
            <color rgb="FF1F4E79"/>
            <rFont val="Arial"/>
            <family val="2"/>
          </rPr>
          <t xml:space="preserve">Bygger på SvKF 2022 – egen formulering/konkretisering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Myokarditer · s. 15 · Socialstyrelsens mål: STc8, STc10
</t>
        </r>
        <r>
          <rPr>
            <sz val="9"/>
            <color rgb="FF000000"/>
            <rFont val="Arial"/>
            <family val="2"/>
          </rPr>
          <t>• Definition, orsaker, kliniska tecken, symtom, patologi, utredning, prognos och diagnostiska kriterier för infektiös och icke-infektiös myokardit.
• Värdering och tillämpning av noninvasiva och invasiva diagnostiska metoder vid myokardit.</t>
        </r>
      </text>
    </comment>
    <comment ref="C55" authorId="0" shapeId="0" xr:uid="{00000000-0006-0000-0300-000019000000}">
      <text>
        <r>
          <rPr>
            <b/>
            <sz val="9"/>
            <color rgb="FF1F4E79"/>
            <rFont val="Arial"/>
            <family val="2"/>
          </rPr>
          <t xml:space="preserve">Bygger på SvKF 2022 – egen formulering/konkretisering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Perikardsjukdom · s. 14 · Socialstyrelsens mål: STc8, STc10
</t>
        </r>
        <r>
          <rPr>
            <sz val="9"/>
            <color rgb="FF000000"/>
            <rFont val="Arial"/>
            <family val="2"/>
          </rPr>
          <t>• Epidemiologi, patofysiologi, symtom, differentialdiagnoser, undersökningsmetoder, behandlingsprinciper, komplikationer och prognos vid akut samt kronisk perikardit
• Val och basal tolkning av noninvasiva bilddiagnostiska metoder och invasiv hemodynamisk tryckmätning för diagnos av perikardsjukdom.</t>
        </r>
      </text>
    </comment>
    <comment ref="C56" authorId="0" shapeId="0" xr:uid="{00000000-0006-0000-0300-00001A000000}">
      <text>
        <r>
          <rPr>
            <b/>
            <sz val="9"/>
            <color rgb="FF2E7D32"/>
            <rFont val="Arial"/>
            <family val="2"/>
          </rPr>
          <t xml:space="preserve">Ordagrant / nära ordagrant ur SvKF 2022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Graviditet och hjärtsjukdom · s. 17 · Socialstyrelsens mål: STc10
</t>
        </r>
        <r>
          <rPr>
            <sz val="9"/>
            <color rgb="FF000000"/>
            <rFont val="Arial"/>
            <family val="2"/>
          </rPr>
          <t>• Kliniska tecken, symtom, akut diagnostik och behandling av akut hjärtkärlsjukdom hos gravida inklusive lungemboli, aortadissektion och hjärtinfarkt.</t>
        </r>
      </text>
    </comment>
    <comment ref="C57" authorId="0" shapeId="0" xr:uid="{00000000-0006-0000-0300-00001B000000}">
      <text>
        <r>
          <rPr>
            <b/>
            <sz val="9"/>
            <color rgb="FF1F4E79"/>
            <rFont val="Arial"/>
            <family val="2"/>
          </rPr>
          <t xml:space="preserve">Bygger på SvKF 2022 – egen formulering/konkretisering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Genetik vid hjärtsjukdom · s. 16 · Socialstyrelsens mål: STc10
</t>
        </r>
        <r>
          <rPr>
            <sz val="9"/>
            <color rgb="FF000000"/>
            <rFont val="Arial"/>
            <family val="2"/>
          </rPr>
          <t xml:space="preserve">• Klassifikation, epidemiologi, patofysiologi, symtom, differentialdiagnoser, undersökningsmetoder, behandling och prognos för ärftliga kardiovaskulära sjukdomar med särskilt fokus på kardiomyopatier, arytmier, aortopatier och dyslipidemier. Exempelvis:
    – Familjär hyperkolesterolemi.
</t>
        </r>
        <r>
          <rPr>
            <b/>
            <sz val="9"/>
            <color rgb="FF1B3A5C"/>
            <rFont val="Arial"/>
            <family val="2"/>
          </rPr>
          <t xml:space="preserve">
Preventiv kardiologi · s. 18 · Socialstyrelsens mål: STc12
</t>
        </r>
        <r>
          <rPr>
            <sz val="9"/>
            <color rgb="FF000000"/>
            <rFont val="Arial"/>
            <family val="2"/>
          </rPr>
          <t>• Utredning och behandling avseende:
    – Dyslipidemier.</t>
        </r>
      </text>
    </comment>
    <comment ref="C58" authorId="0" shapeId="0" xr:uid="{00000000-0006-0000-0300-00001C000000}">
      <text>
        <r>
          <rPr>
            <b/>
            <sz val="9"/>
            <color rgb="FF1F4E79"/>
            <rFont val="Arial"/>
            <family val="2"/>
          </rPr>
          <t xml:space="preserve">Bygger på SvKF 2022 – egen formulering/konkretisering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Perikardsjukdom · s. 14 · Socialstyrelsens mål: STc8, STc10
</t>
        </r>
        <r>
          <rPr>
            <sz val="9"/>
            <color rgb="FF000000"/>
            <rFont val="Arial"/>
            <family val="2"/>
          </rPr>
          <t>• Epidemiologi, patofysiologi, symtom, differentialdiagnoser, undersökningsmetoder, behandlingsprinciper, komplikationer och prognos vid akut samt kronisk perikardit
• Handläggning av hotande och manifest hjärttamponad samt grundläggande praktisk kunskap för utförandet av urakut perikardiocentes.</t>
        </r>
      </text>
    </comment>
    <comment ref="C59" authorId="0" shapeId="0" xr:uid="{00000000-0006-0000-0300-00001D000000}">
      <text>
        <r>
          <rPr>
            <b/>
            <sz val="9"/>
            <color rgb="FF2E7D32"/>
            <rFont val="Arial"/>
            <family val="2"/>
          </rPr>
          <t xml:space="preserve">Ordagrant / nära ordagrant ur SvKF 2022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i/>
            <sz val="8"/>
            <color rgb="FF595959"/>
            <rFont val="Arial"/>
            <family val="2"/>
          </rPr>
          <t xml:space="preserve">Metoderna i parentes är tillagda.
</t>
        </r>
        <r>
          <rPr>
            <b/>
            <sz val="9"/>
            <color rgb="FF1B3A5C"/>
            <rFont val="Arial"/>
            <family val="2"/>
          </rPr>
          <t xml:space="preserve">
Aortasjukdomar · s. 13 · Socialstyrelsens mål: STc6, STc11
</t>
        </r>
        <r>
          <rPr>
            <sz val="9"/>
            <color rgb="FF000000"/>
            <rFont val="Arial"/>
            <family val="2"/>
          </rPr>
          <t>• Klassifikation, epidemiologi, orsaker, patofysiologi, klinisk bild, differentialdiagnoser, diagnostik, behandling, prognos och uppföljning vid thorakal aortasjukdom.</t>
        </r>
      </text>
    </comment>
    <comment ref="C61" authorId="0" shapeId="0" xr:uid="{00000000-0006-0000-0300-00001E000000}">
      <text>
        <r>
          <rPr>
            <b/>
            <sz val="9"/>
            <color rgb="FF2E7D32"/>
            <rFont val="Arial"/>
            <family val="2"/>
          </rPr>
          <t xml:space="preserve">Ordagrant / nära ordagrant ur SvKF 2022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i/>
            <sz val="8"/>
            <color rgb="FF595959"/>
            <rFont val="Arial"/>
            <family val="2"/>
          </rPr>
          <t xml:space="preserve">TIMI/GRACE är tillagda exempel.
</t>
        </r>
        <r>
          <rPr>
            <b/>
            <sz val="9"/>
            <color rgb="FF1B3A5C"/>
            <rFont val="Arial"/>
            <family val="2"/>
          </rPr>
          <t xml:space="preserve">
Akut koronart syndrom (AKS) · s. 9 · Socialstyrelsens mål: STc7
</t>
        </r>
        <r>
          <rPr>
            <sz val="9"/>
            <color rgb="FF000000"/>
            <rFont val="Arial"/>
            <family val="2"/>
          </rPr>
          <t>• Riskstratifikation vid AKS samt kunna bedöma adekvat vårdnivå.
• Behandling vid AKS; inkluderande prehospitalt omhändertagande, antitrombotisk och antiischemisk läkemedelsbehandling, indikationer, kontraindikationer och tidsperspektiv för invasiv utredning och val av revaskularisering i akutskede.</t>
        </r>
      </text>
    </comment>
    <comment ref="C62" authorId="0" shapeId="0" xr:uid="{00000000-0006-0000-0300-00001F000000}">
      <text>
        <r>
          <rPr>
            <b/>
            <sz val="9"/>
            <color rgb="FF1F4E79"/>
            <rFont val="Arial"/>
            <family val="2"/>
          </rPr>
          <t xml:space="preserve">Bygger på SvKF 2022 – egen formulering/konkretisering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i/>
            <sz val="8"/>
            <color rgb="FF595959"/>
            <rFont val="Arial"/>
            <family val="2"/>
          </rPr>
          <t xml:space="preserve">Blödningsrisk vid AKS och DAPT-strategi är en egen konkretisering.
</t>
        </r>
        <r>
          <rPr>
            <b/>
            <sz val="9"/>
            <color rgb="FF1B3A5C"/>
            <rFont val="Arial"/>
            <family val="2"/>
          </rPr>
          <t xml:space="preserve">
Akut koronart syndrom (AKS) · s. 9 · Socialstyrelsens mål: STc7
</t>
        </r>
        <r>
          <rPr>
            <sz val="9"/>
            <color rgb="FF000000"/>
            <rFont val="Arial"/>
            <family val="2"/>
          </rPr>
          <t xml:space="preserve">• Behandling vid AKS; inkluderande prehospitalt omhändertagande, antitrombotisk och antiischemisk läkemedelsbehandling, indikationer, kontraindikationer och tidsperspektiv för invasiv utredning och val av revaskularisering i akutskede.
• Uppföljning och långsiktig behandling efter AKS.
</t>
        </r>
        <r>
          <rPr>
            <b/>
            <sz val="9"/>
            <color rgb="FF1B3A5C"/>
            <rFont val="Arial"/>
            <family val="2"/>
          </rPr>
          <t xml:space="preserve">
Klinisk farmakologi · s. 19 · Socialstyrelsens mål: ingår i de flesta c-målen
</t>
        </r>
        <r>
          <rPr>
            <sz val="9"/>
            <color rgb="FF000000"/>
            <rFont val="Arial"/>
            <family val="2"/>
          </rPr>
          <t xml:space="preserve">• Indikationer/kontraindikationer, farmakokinetik, verkningsmekanismer, vanliga och/eller allvarliga interaktioner, biverkningar och toxiska effekter för kardiovaskulära läkemedel, med fokus på följande grupper:
    – Trombocythämmare.
</t>
        </r>
        <r>
          <rPr>
            <b/>
            <sz val="9"/>
            <color rgb="FF1B3A5C"/>
            <rFont val="Arial"/>
            <family val="2"/>
          </rPr>
          <t xml:space="preserve">
Preoperativ bedömning · s. 22 · Socialstyrelsens mål: specifikt mål saknas
</t>
        </r>
        <r>
          <rPr>
            <sz val="9"/>
            <color rgb="FF000000"/>
            <rFont val="Arial"/>
            <family val="2"/>
          </rPr>
          <t>• Värdera optimalt tidsfönster för uppehåll i antitrombotisk behandling vid kirurgi hos patienter med kardiovaskulär sjukdom.</t>
        </r>
      </text>
    </comment>
    <comment ref="C63" authorId="0" shapeId="0" xr:uid="{00000000-0006-0000-0300-000020000000}">
      <text>
        <r>
          <rPr>
            <b/>
            <sz val="9"/>
            <color rgb="FF1F4E79"/>
            <rFont val="Arial"/>
            <family val="2"/>
          </rPr>
          <t xml:space="preserve">Bygger på SvKF 2022 – egen formulering/konkretisering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Akut koronart syndrom (AKS) · s. 9 · Socialstyrelsens mål: STc7
</t>
        </r>
        <r>
          <rPr>
            <sz val="9"/>
            <color rgb="FF000000"/>
            <rFont val="Arial"/>
            <family val="2"/>
          </rPr>
          <t xml:space="preserve">• Samsjuklighet vid AKS.
</t>
        </r>
        <r>
          <rPr>
            <b/>
            <sz val="9"/>
            <color rgb="FF1B3A5C"/>
            <rFont val="Arial"/>
            <family val="2"/>
          </rPr>
          <t xml:space="preserve">
Kronisk koronart syndrom (stabil kranskärlssjukdom) · s. 9 · Socialstyrelsens mål: STc7
</t>
        </r>
        <r>
          <rPr>
            <sz val="9"/>
            <color rgb="FF000000"/>
            <rFont val="Arial"/>
            <family val="2"/>
          </rPr>
          <t>• Samsjuklighet vid kronisk ischemisk hjärtsjukdom.</t>
        </r>
      </text>
    </comment>
    <comment ref="C64" authorId="0" shapeId="0" xr:uid="{00000000-0006-0000-0300-000021000000}">
      <text>
        <r>
          <rPr>
            <b/>
            <sz val="9"/>
            <color rgb="FF1F4E79"/>
            <rFont val="Arial"/>
            <family val="2"/>
          </rPr>
          <t xml:space="preserve">Bygger på SvKF 2022 – egen formulering/konkretisering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Preventiv kardiologi · s. 18 · Socialstyrelsens mål: STc12
</t>
        </r>
        <r>
          <rPr>
            <sz val="9"/>
            <color rgb="FF000000"/>
            <rFont val="Arial"/>
            <family val="2"/>
          </rPr>
          <t xml:space="preserve">• Definiera och identifiera riskfaktorer för hjärtkärlsjukdom både för enskilda individer och i samhället, inklusive ogynnsamma faktorer i miljön (luftföroreningar).
• Värdera kardiovaskulär sjukdomsrisk och vinst av riskfaktorintervention för den enskilda individen.
• Sjukdomsförebyggande metoder och rådgivning avseende ohälsosamma levnadsvanor: rökning, fysisk inaktivitet, ogynnsamma matvanor, alkoholkonsumtion.
</t>
        </r>
        <r>
          <rPr>
            <b/>
            <sz val="9"/>
            <color rgb="FF1B3A5C"/>
            <rFont val="Arial"/>
            <family val="2"/>
          </rPr>
          <t xml:space="preserve">
Kronisk koronart syndrom (stabil kranskärlssjukdom) · s. 9 · Socialstyrelsens mål: STc7
</t>
        </r>
        <r>
          <rPr>
            <sz val="9"/>
            <color rgb="FF000000"/>
            <rFont val="Arial"/>
            <family val="2"/>
          </rPr>
          <t>• Riskstratifiering vid kronisk kranskärlssjukdom.</t>
        </r>
      </text>
    </comment>
    <comment ref="C65" authorId="0" shapeId="0" xr:uid="{00000000-0006-0000-0300-000022000000}">
      <text>
        <r>
          <rPr>
            <b/>
            <sz val="9"/>
            <color rgb="FF2E7D32"/>
            <rFont val="Arial"/>
            <family val="2"/>
          </rPr>
          <t xml:space="preserve">Ordagrant / nära ordagrant ur SvKF 2022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Preoperativ bedömning · s. 22 · Socialstyrelsens mål: specifikt mål saknas
</t>
        </r>
        <r>
          <rPr>
            <sz val="9"/>
            <color rgb="FF000000"/>
            <rFont val="Arial"/>
            <family val="2"/>
          </rPr>
          <t>• Kardiovaskulär riskstratifiering inför kirurgi hos patienter med känd kardiovaskulär sjukdom.
• Värdera kardiovaskulär risk i relation till typ av kirurgiskt ingrepp, hur akut ingreppet är och relaterat till underliggande kardiovaskulär sjukdom.</t>
        </r>
      </text>
    </comment>
    <comment ref="C66" authorId="0" shapeId="0" xr:uid="{00000000-0006-0000-0300-000023000000}">
      <text>
        <r>
          <rPr>
            <b/>
            <sz val="9"/>
            <color rgb="FF1F4E79"/>
            <rFont val="Arial"/>
            <family val="2"/>
          </rPr>
          <t xml:space="preserve">Bygger på SvKF 2022 – egen formulering/konkretisering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Aortasjukdomar · s. 13 · Socialstyrelsens mål: STc6, STc11
</t>
        </r>
        <r>
          <rPr>
            <sz val="9"/>
            <color rgb="FF000000"/>
            <rFont val="Arial"/>
            <family val="2"/>
          </rPr>
          <t>• Klassifikation, epidemiologi, orsaker, patofysiologi, klinisk bild, differentialdiagnoser, diagnostik, behandling, prognos och uppföljning vid thorakal aortasjukdom.
• Medicinsk handläggning och kunskap om kirurgisk behandling vid thorakala aortasjukdomar.
• Genetiska syndrom vid aortasjukdom.</t>
        </r>
      </text>
    </comment>
    <comment ref="C67" authorId="0" shapeId="0" xr:uid="{00000000-0006-0000-0300-000024000000}">
      <text>
        <r>
          <rPr>
            <b/>
            <sz val="9"/>
            <color rgb="FF1F4E79"/>
            <rFont val="Arial"/>
            <family val="2"/>
          </rPr>
          <t xml:space="preserve">Bygger på SvKF 2022 – egen formulering/konkretisering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Kronisk koronart syndrom (stabil kranskärlssjukdom) · s. 9 · Socialstyrelsens mål: STc7
</t>
        </r>
        <r>
          <rPr>
            <sz val="9"/>
            <color rgb="FF000000"/>
            <rFont val="Arial"/>
            <family val="2"/>
          </rPr>
          <t xml:space="preserve">• Indikationer och kontraindikationer för invasiv utredning och val av revaskularisering.
• Handläggning av patienter i multidisciplinära team.
</t>
        </r>
        <r>
          <rPr>
            <b/>
            <sz val="9"/>
            <color rgb="FF1B3A5C"/>
            <rFont val="Arial"/>
            <family val="2"/>
          </rPr>
          <t xml:space="preserve">
Invasiv bild- och funktionsdiagnostik · s. 20 · Socialstyrelsens mål: STc7, STc8
</t>
        </r>
        <r>
          <rPr>
            <sz val="9"/>
            <color rgb="FF000000"/>
            <rFont val="Arial"/>
            <family val="2"/>
          </rPr>
          <t>• Val av adekvat behandlingsalternativ (läkemedel, perkutan intervention, kirurgi) utifrån klinisk bild och undersökningsresultat.</t>
        </r>
      </text>
    </comment>
    <comment ref="C68" authorId="0" shapeId="0" xr:uid="{00000000-0006-0000-0300-000025000000}">
      <text>
        <r>
          <rPr>
            <b/>
            <sz val="9"/>
            <color rgb="FF2E7D32"/>
            <rFont val="Arial"/>
            <family val="2"/>
          </rPr>
          <t xml:space="preserve">Ordagrant / nära ordagrant ur SvKF 2022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Graviditet och hjärtsjukdom · s. 17 · Socialstyrelsens mål: STc10
</t>
        </r>
        <r>
          <rPr>
            <sz val="9"/>
            <color rgb="FF000000"/>
            <rFont val="Arial"/>
            <family val="2"/>
          </rPr>
          <t>• Identifiera kvinnor med hög risk för kardiella komplikationer inklusive preeklampsi och arytmi, vilka kan vara i behov av kardiell intervention före/under graviditet.</t>
        </r>
      </text>
    </comment>
    <comment ref="C70" authorId="0" shapeId="0" xr:uid="{00000000-0006-0000-0300-000026000000}">
      <text>
        <r>
          <rPr>
            <b/>
            <sz val="9"/>
            <color rgb="FF2E7D32"/>
            <rFont val="Arial"/>
            <family val="2"/>
          </rPr>
          <t xml:space="preserve">Ordagrant / nära ordagrant ur SvKF 2022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Akut koronart syndrom (AKS) · s. 9 · Socialstyrelsens mål: STc7
</t>
        </r>
        <r>
          <rPr>
            <sz val="9"/>
            <color rgb="FF000000"/>
            <rFont val="Arial"/>
            <family val="2"/>
          </rPr>
          <t>• Behandling vid AKS; inkluderande prehospitalt omhändertagande, antitrombotisk och antiischemisk läkemedelsbehandling, indikationer, kontraindikationer och tidsperspektiv för invasiv utredning och val av revaskularisering i akutskede.</t>
        </r>
      </text>
    </comment>
    <comment ref="C71" authorId="0" shapeId="0" xr:uid="{00000000-0006-0000-0300-000027000000}">
      <text>
        <r>
          <rPr>
            <b/>
            <sz val="9"/>
            <color rgb="FF2E7D32"/>
            <rFont val="Arial"/>
            <family val="2"/>
          </rPr>
          <t xml:space="preserve">Ordagrant / nära ordagrant ur SvKF 2022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Kronisk koronart syndrom (stabil kranskärlssjukdom) · s. 9 · Socialstyrelsens mål: STc7
</t>
        </r>
        <r>
          <rPr>
            <sz val="9"/>
            <color rgb="FF000000"/>
            <rFont val="Arial"/>
            <family val="2"/>
          </rPr>
          <t>• Behandling vid kronisk kranskärlssjukdom, både farmakologisk och icke-farmakologisk.
• Indikationer och kontraindikationer för invasiv utredning och val av revaskularisering.</t>
        </r>
      </text>
    </comment>
    <comment ref="C72" authorId="0" shapeId="0" xr:uid="{00000000-0006-0000-0300-000028000000}">
      <text>
        <r>
          <rPr>
            <b/>
            <sz val="9"/>
            <color rgb="FF2E7D32"/>
            <rFont val="Arial"/>
            <family val="2"/>
          </rPr>
          <t xml:space="preserve">Ordagrant / nära ordagrant ur SvKF 2022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i/>
            <sz val="8"/>
            <color rgb="FF595959"/>
            <rFont val="Arial"/>
            <family val="2"/>
          </rPr>
          <t xml:space="preserve">Exemplen i parentes är tillagda.
</t>
        </r>
        <r>
          <rPr>
            <b/>
            <sz val="9"/>
            <color rgb="FF1B3A5C"/>
            <rFont val="Arial"/>
            <family val="2"/>
          </rPr>
          <t xml:space="preserve">
Kronisk koronart syndrom (stabil kranskärlssjukdom) · s. 9 · Socialstyrelsens mål: STc7
</t>
        </r>
        <r>
          <rPr>
            <sz val="9"/>
            <color rgb="FF000000"/>
            <rFont val="Arial"/>
            <family val="2"/>
          </rPr>
          <t>• Indikationer för alternativa behandlingsmetoder vid annars terapirefraktär angina.</t>
        </r>
      </text>
    </comment>
    <comment ref="C73" authorId="0" shapeId="0" xr:uid="{00000000-0006-0000-0300-000029000000}">
      <text>
        <r>
          <rPr>
            <b/>
            <sz val="9"/>
            <color rgb="FF2E7D32"/>
            <rFont val="Arial"/>
            <family val="2"/>
          </rPr>
          <t xml:space="preserve">Ordagrant / nära ordagrant ur SvKF 2022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i/>
            <sz val="8"/>
            <color rgb="FF595959"/>
            <rFont val="Arial"/>
            <family val="2"/>
          </rPr>
          <t xml:space="preserve">Exemplen i parentes är tillagda.
</t>
        </r>
        <r>
          <rPr>
            <b/>
            <sz val="9"/>
            <color rgb="FF1B3A5C"/>
            <rFont val="Arial"/>
            <family val="2"/>
          </rPr>
          <t xml:space="preserve">
Invasiv bild- och funktionsdiagnostik · s. 20 · Socialstyrelsens mål: STc7, STc8
</t>
        </r>
        <r>
          <rPr>
            <sz val="9"/>
            <color rgb="FF000000"/>
            <rFont val="Arial"/>
            <family val="2"/>
          </rPr>
          <t>• Läkemedelsbehandling i samband med invasiv kardiell utredning och behandling.</t>
        </r>
      </text>
    </comment>
    <comment ref="C74" authorId="0" shapeId="0" xr:uid="{00000000-0006-0000-0300-00002A000000}">
      <text>
        <r>
          <rPr>
            <b/>
            <sz val="9"/>
            <color rgb="FF2E7D32"/>
            <rFont val="Arial"/>
            <family val="2"/>
          </rPr>
          <t xml:space="preserve">Ordagrant / nära ordagrant ur SvKF 2022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Myokarditer · s. 15 · Socialstyrelsens mål: STc8, STc10
</t>
        </r>
        <r>
          <rPr>
            <sz val="9"/>
            <color rgb="FF000000"/>
            <rFont val="Arial"/>
            <family val="2"/>
          </rPr>
          <t>• Behandling av myokardit och dess komplikationer.</t>
        </r>
      </text>
    </comment>
    <comment ref="C75" authorId="0" shapeId="0" xr:uid="{00000000-0006-0000-0300-00002B000000}">
      <text>
        <r>
          <rPr>
            <b/>
            <sz val="9"/>
            <color rgb="FF2E7D32"/>
            <rFont val="Arial"/>
            <family val="2"/>
          </rPr>
          <t xml:space="preserve">Ordagrant / nära ordagrant ur SvKF 2022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Perikardsjukdom · s. 14 · Socialstyrelsens mål: STc8, STc10
</t>
        </r>
        <r>
          <rPr>
            <sz val="9"/>
            <color rgb="FF000000"/>
            <rFont val="Arial"/>
            <family val="2"/>
          </rPr>
          <t>• Epidemiologi, patofysiologi, symtom, differentialdiagnoser, undersökningsmetoder, behandlingsprinciper, komplikationer och prognos vid akut samt kronisk perikardit</t>
        </r>
      </text>
    </comment>
    <comment ref="C76" authorId="0" shapeId="0" xr:uid="{00000000-0006-0000-0300-00002C000000}">
      <text>
        <r>
          <rPr>
            <b/>
            <sz val="9"/>
            <color rgb="FF2E7D32"/>
            <rFont val="Arial"/>
            <family val="2"/>
          </rPr>
          <t xml:space="preserve">Ordagrant / nära ordagrant ur SvKF 2022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Aortasjukdomar · s. 13 · Socialstyrelsens mål: STc6, STc11
</t>
        </r>
        <r>
          <rPr>
            <sz val="9"/>
            <color rgb="FF000000"/>
            <rFont val="Arial"/>
            <family val="2"/>
          </rPr>
          <t>• Medicinsk handläggning och kunskap om kirurgisk behandling vid thorakala aortasjukdomar.
• Akut omhändertagande av patient med akut aortasyndrom.</t>
        </r>
      </text>
    </comment>
    <comment ref="C77" authorId="0" shapeId="0" xr:uid="{00000000-0006-0000-0300-00002D000000}">
      <text>
        <r>
          <rPr>
            <b/>
            <sz val="9"/>
            <color rgb="FF2E7D32"/>
            <rFont val="Arial"/>
            <family val="2"/>
          </rPr>
          <t xml:space="preserve">Ordagrant / nära ordagrant ur SvKF 2022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Graviditet och hjärtsjukdom · s. 17 · Socialstyrelsens mål: STc10
</t>
        </r>
        <r>
          <rPr>
            <sz val="9"/>
            <color rgb="FF000000"/>
            <rFont val="Arial"/>
            <family val="2"/>
          </rPr>
          <t>• Hjärtkärlläkemedel under graviditet och amning inklusive handläggning av antikoagulation vid klaffprotes.</t>
        </r>
      </text>
    </comment>
    <comment ref="C78" authorId="0" shapeId="0" xr:uid="{00000000-0006-0000-0300-00002E000000}">
      <text>
        <r>
          <rPr>
            <b/>
            <sz val="9"/>
            <color rgb="FF2E7D32"/>
            <rFont val="Arial"/>
            <family val="2"/>
          </rPr>
          <t xml:space="preserve">Ordagrant / nära ordagrant ur SvKF 2022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Akut koronart syndrom (AKS) · s. 9 · Socialstyrelsens mål: STc7
</t>
        </r>
        <r>
          <rPr>
            <sz val="9"/>
            <color rgb="FF000000"/>
            <rFont val="Arial"/>
            <family val="2"/>
          </rPr>
          <t>• Komplikationer till AKS såsom arytmier, akut hjärtsvikt, hemodynamisk instabilitet, kardiogen chock, och akuta mekaniska komplikationer (klaffinsufficienser, VSD och hjärttamponad).</t>
        </r>
      </text>
    </comment>
    <comment ref="C79" authorId="0" shapeId="0" xr:uid="{00000000-0006-0000-0300-00002F000000}">
      <text>
        <r>
          <rPr>
            <b/>
            <sz val="9"/>
            <color rgb="FF2E7D32"/>
            <rFont val="Arial"/>
            <family val="2"/>
          </rPr>
          <t xml:space="preserve">Ordagrant / nära ordagrant ur SvKF 2022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Akut koronart syndrom (AKS) · s. 9 · Socialstyrelsens mål: STc7
</t>
        </r>
        <r>
          <rPr>
            <sz val="9"/>
            <color rgb="FF000000"/>
            <rFont val="Arial"/>
            <family val="2"/>
          </rPr>
          <t xml:space="preserve">• Identifiera och initialt handlägga komplikationer vid hjärtkirurgi.
• Handläggning av komplikationer till invasiva ingrepp.
</t>
        </r>
        <r>
          <rPr>
            <b/>
            <sz val="9"/>
            <color rgb="FF1B3A5C"/>
            <rFont val="Arial"/>
            <family val="2"/>
          </rPr>
          <t xml:space="preserve">
Kronisk koronart syndrom (stabil kranskärlssjukdom) · s. 9 · Socialstyrelsens mål: STc7
</t>
        </r>
        <r>
          <rPr>
            <sz val="9"/>
            <color rgb="FF000000"/>
            <rFont val="Arial"/>
            <family val="2"/>
          </rPr>
          <t xml:space="preserve">• Handläggning av komplikationer till invasiva ingrepp.
</t>
        </r>
        <r>
          <rPr>
            <b/>
            <sz val="9"/>
            <color rgb="FF1B3A5C"/>
            <rFont val="Arial"/>
            <family val="2"/>
          </rPr>
          <t xml:space="preserve">
Kardiologisk rehabilitering · s. 18 · Socialstyrelsens mål: STc12, STc13
</t>
        </r>
        <r>
          <rPr>
            <sz val="9"/>
            <color rgb="FF000000"/>
            <rFont val="Arial"/>
            <family val="2"/>
          </rPr>
          <t>• Komplikationer efter genomgången hjärt-/thoraxkirurgi.</t>
        </r>
      </text>
    </comment>
    <comment ref="C80" authorId="0" shapeId="0" xr:uid="{00000000-0006-0000-0300-000030000000}">
      <text>
        <r>
          <rPr>
            <b/>
            <sz val="9"/>
            <color rgb="FF2E7D32"/>
            <rFont val="Arial"/>
            <family val="2"/>
          </rPr>
          <t xml:space="preserve">Ordagrant / nära ordagrant ur SvKF 2022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Invasiv bild- och funktionsdiagnostik · s. 20 · Socialstyrelsens mål: STc7, STc8
</t>
        </r>
        <r>
          <rPr>
            <sz val="9"/>
            <color rgb="FF000000"/>
            <rFont val="Arial"/>
            <family val="2"/>
          </rPr>
          <t xml:space="preserve">• Risker med kontrastanvändning och förebyggande behandling av kontrastinducerad nefropati.
</t>
        </r>
        <r>
          <rPr>
            <b/>
            <sz val="9"/>
            <color rgb="FF1B3A5C"/>
            <rFont val="Arial"/>
            <family val="2"/>
          </rPr>
          <t xml:space="preserve">
Noninvasiv bild- och funktionsdiagnostik › Allmänt · s. 20 · Socialstyrelsens mål: STc7
</t>
        </r>
        <r>
          <rPr>
            <sz val="9"/>
            <color rgb="FF000000"/>
            <rFont val="Arial"/>
            <family val="2"/>
          </rPr>
          <t>• Risker med kontrastanvändning samt prevention och behandling av kontrastinducerad nefropati.</t>
        </r>
      </text>
    </comment>
    <comment ref="C81" authorId="0" shapeId="0" xr:uid="{00000000-0006-0000-0300-000031000000}">
      <text>
        <r>
          <rPr>
            <b/>
            <sz val="9"/>
            <color rgb="FF2E7D32"/>
            <rFont val="Arial"/>
            <family val="2"/>
          </rPr>
          <t xml:space="preserve">Ordagrant / nära ordagrant ur SvKF 2022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Myokarditer · s. 15 · Socialstyrelsens mål: STc8, STc10
</t>
        </r>
        <r>
          <rPr>
            <sz val="9"/>
            <color rgb="FF000000"/>
            <rFont val="Arial"/>
            <family val="2"/>
          </rPr>
          <t xml:space="preserve">• Behandling av myokardit och dess komplikationer.
</t>
        </r>
        <r>
          <rPr>
            <b/>
            <sz val="9"/>
            <color rgb="FF1B3A5C"/>
            <rFont val="Arial"/>
            <family val="2"/>
          </rPr>
          <t xml:space="preserve">
Perikardsjukdom · s. 14 · Socialstyrelsens mål: STc8, STc10
</t>
        </r>
        <r>
          <rPr>
            <sz val="9"/>
            <color rgb="FF000000"/>
            <rFont val="Arial"/>
            <family val="2"/>
          </rPr>
          <t>• Handläggning av hotande och manifest hjärttamponad samt grundläggande praktisk kunskap för utförandet av urakut perikardiocentes.</t>
        </r>
      </text>
    </comment>
    <comment ref="C83" authorId="0" shapeId="0" xr:uid="{00000000-0006-0000-0300-000032000000}">
      <text>
        <r>
          <rPr>
            <b/>
            <sz val="9"/>
            <color rgb="FF1F4E79"/>
            <rFont val="Arial"/>
            <family val="2"/>
          </rPr>
          <t xml:space="preserve">Bygger på SvKF 2022 – egen formulering/konkretisering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Akut koronart syndrom (AKS) · s. 9 · Socialstyrelsens mål: STc7
</t>
        </r>
        <r>
          <rPr>
            <sz val="9"/>
            <color rgb="FF000000"/>
            <rFont val="Arial"/>
            <family val="2"/>
          </rPr>
          <t xml:space="preserve">• Uppföljning och långsiktig behandling efter AKS.
</t>
        </r>
        <r>
          <rPr>
            <b/>
            <sz val="9"/>
            <color rgb="FF1B3A5C"/>
            <rFont val="Arial"/>
            <family val="2"/>
          </rPr>
          <t xml:space="preserve">
Kronisk koronart syndrom (stabil kranskärlssjukdom) · s. 9 · Socialstyrelsens mål: STc7
</t>
        </r>
        <r>
          <rPr>
            <sz val="9"/>
            <color rgb="FF000000"/>
            <rFont val="Arial"/>
            <family val="2"/>
          </rPr>
          <t>• Behandling vid kronisk kranskärlssjukdom, både farmakologisk och icke-farmakologisk.</t>
        </r>
      </text>
    </comment>
    <comment ref="C84" authorId="0" shapeId="0" xr:uid="{00000000-0006-0000-0300-000033000000}">
      <text>
        <r>
          <rPr>
            <b/>
            <sz val="9"/>
            <color rgb="FF1F4E79"/>
            <rFont val="Arial"/>
            <family val="2"/>
          </rPr>
          <t xml:space="preserve">Bygger på SvKF 2022 – egen formulering/konkretisering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Akut koronart syndrom (AKS) · s. 9 · Socialstyrelsens mål: STc7
</t>
        </r>
        <r>
          <rPr>
            <sz val="9"/>
            <color rgb="FF000000"/>
            <rFont val="Arial"/>
            <family val="2"/>
          </rPr>
          <t xml:space="preserve">• Uppföljning och långsiktig behandling efter AKS.
</t>
        </r>
        <r>
          <rPr>
            <b/>
            <sz val="9"/>
            <color rgb="FF1B3A5C"/>
            <rFont val="Arial"/>
            <family val="2"/>
          </rPr>
          <t xml:space="preserve">
Arytmier och synkope › Takykardier · s. 11 · Socialstyrelsens mål: STc6, STc9
</t>
        </r>
        <r>
          <rPr>
            <sz val="9"/>
            <color rgb="FF000000"/>
            <rFont val="Arial"/>
            <family val="2"/>
          </rPr>
          <t>• Indikationer och komplikationer vid ICD-behandling samt genomföra avläsning med programmerare.</t>
        </r>
      </text>
    </comment>
    <comment ref="C85" authorId="0" shapeId="0" xr:uid="{00000000-0006-0000-0300-000034000000}">
      <text>
        <r>
          <rPr>
            <b/>
            <sz val="9"/>
            <color rgb="FF1F4E79"/>
            <rFont val="Arial"/>
            <family val="2"/>
          </rPr>
          <t xml:space="preserve">Bygger på SvKF 2022 – egen formulering/konkretisering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i/>
            <sz val="8"/>
            <color rgb="FF595959"/>
            <rFont val="Arial"/>
            <family val="2"/>
          </rPr>
          <t xml:space="preserve">Läkemedelsexemplen är tillagda.
</t>
        </r>
        <r>
          <rPr>
            <b/>
            <sz val="9"/>
            <color rgb="FF1B3A5C"/>
            <rFont val="Arial"/>
            <family val="2"/>
          </rPr>
          <t xml:space="preserve">
Akut koronart syndrom (AKS) · s. 9 · Socialstyrelsens mål: STc7
</t>
        </r>
        <r>
          <rPr>
            <sz val="9"/>
            <color rgb="FF000000"/>
            <rFont val="Arial"/>
            <family val="2"/>
          </rPr>
          <t xml:space="preserve">• Uppföljning och långsiktig behandling efter AKS.
</t>
        </r>
        <r>
          <rPr>
            <b/>
            <sz val="9"/>
            <color rgb="FF1B3A5C"/>
            <rFont val="Arial"/>
            <family val="2"/>
          </rPr>
          <t xml:space="preserve">
Klinisk farmakologi · s. 19 · Socialstyrelsens mål: ingår i de flesta c-målen
</t>
        </r>
        <r>
          <rPr>
            <sz val="9"/>
            <color rgb="FF000000"/>
            <rFont val="Arial"/>
            <family val="2"/>
          </rPr>
          <t>• Indikationer/kontraindikationer, farmakokinetik, verkningsmekanismer, vanliga och/eller allvarliga interaktioner, biverkningar och toxiska effekter för kardiovaskulära läkemedel, med fokus på följande grupper:
    – Trombocythämmare.
    – Beta- och alfareceptorblockad.
    – Natriumglukostransportör 2 (SGLT2) hämmare.
    – RAAS- och neprilysin-hämmare.
    – Lipidsänkare.</t>
        </r>
      </text>
    </comment>
    <comment ref="C86" authorId="0" shapeId="0" xr:uid="{00000000-0006-0000-0300-000035000000}">
      <text>
        <r>
          <rPr>
            <b/>
            <sz val="9"/>
            <color rgb="FF2E7D32"/>
            <rFont val="Arial"/>
            <family val="2"/>
          </rPr>
          <t xml:space="preserve">Ordagrant / nära ordagrant ur SvKF 2022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Kardiologisk rehabilitering · s. 18 · Socialstyrelsens mål: STc12, STc13
</t>
        </r>
        <r>
          <rPr>
            <sz val="9"/>
            <color rgb="FF000000"/>
            <rFont val="Arial"/>
            <family val="2"/>
          </rPr>
          <t>• Sekundärpreventiva teambaserade insatser och rehabiliteringsprogram efter hjärtinfarkt, PCI och hjärtkirurgi.</t>
        </r>
      </text>
    </comment>
    <comment ref="C87" authorId="0" shapeId="0" xr:uid="{00000000-0006-0000-0300-000036000000}">
      <text>
        <r>
          <rPr>
            <b/>
            <sz val="9"/>
            <color rgb="FF2E7D32"/>
            <rFont val="Arial"/>
            <family val="2"/>
          </rPr>
          <t xml:space="preserve">Ordagrant / nära ordagrant ur SvKF 2022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Kardiologisk rehabilitering · s. 18 · Socialstyrelsens mål: STc12, STc13
</t>
        </r>
        <r>
          <rPr>
            <sz val="9"/>
            <color rgb="FF000000"/>
            <rFont val="Arial"/>
            <family val="2"/>
          </rPr>
          <t>• Sjukskrivning och arbetsanpassning vid hjärtsjukdom.
• Trafikföreskrifter vid hjärtsjukdom.</t>
        </r>
      </text>
    </comment>
    <comment ref="C88" authorId="0" shapeId="0" xr:uid="{00000000-0006-0000-0300-000037000000}">
      <text>
        <r>
          <rPr>
            <b/>
            <sz val="9"/>
            <color rgb="FF1F4E79"/>
            <rFont val="Arial"/>
            <family val="2"/>
          </rPr>
          <t xml:space="preserve">Bygger på SvKF 2022 – egen formulering/konkretisering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i/>
            <sz val="8"/>
            <color rgb="FF595959"/>
            <rFont val="Arial"/>
            <family val="2"/>
          </rPr>
          <t xml:space="preserve">Åldersgränser och DLCN-kriterier är tillagda.
</t>
        </r>
        <r>
          <rPr>
            <b/>
            <sz val="9"/>
            <color rgb="FF1B3A5C"/>
            <rFont val="Arial"/>
            <family val="2"/>
          </rPr>
          <t xml:space="preserve">
Genetik vid hjärtsjukdom · s. 16–17 · Socialstyrelsens mål: STc10
</t>
        </r>
        <r>
          <rPr>
            <sz val="9"/>
            <color rgb="FF000000"/>
            <rFont val="Arial"/>
            <family val="2"/>
          </rPr>
          <t>• Klassifikation, epidemiologi, patofysiologi, symtom, differentialdiagnoser, undersökningsmetoder, behandling och prognos för ärftliga kardiovaskulära sjukdomar med särskilt fokus på kardiomyopatier, arytmier, aortopatier och dyslipidemier. Exempelvis:
    – Familjär hyperkolesterolemi.
• Identifiera och ge basal vägledning till familjemedlemmar som löper risk att vara bärare av kardiovaskulära sjukdomsanlag samt screening med medvetenhet om de speciella etiska problem genetiska sjukdomar kan medföra.</t>
        </r>
      </text>
    </comment>
    <comment ref="C89" authorId="0" shapeId="0" xr:uid="{00000000-0006-0000-0300-000038000000}">
      <text>
        <r>
          <rPr>
            <b/>
            <sz val="9"/>
            <color rgb="FF2E7D32"/>
            <rFont val="Arial"/>
            <family val="2"/>
          </rPr>
          <t xml:space="preserve">Ordagrant / nära ordagrant ur SvKF 2022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Graviditet och hjärtsjukdom · s. 17 · Socialstyrelsens mål: STc10
</t>
        </r>
        <r>
          <rPr>
            <sz val="9"/>
            <color rgb="FF000000"/>
            <rFont val="Arial"/>
            <family val="2"/>
          </rPr>
          <t>• Betydelsen av hjärtsjukdom för val av preventivmedelsmetod.</t>
        </r>
      </text>
    </comment>
    <comment ref="C91" authorId="0" shapeId="0" xr:uid="{00000000-0006-0000-0300-000039000000}">
      <text>
        <r>
          <rPr>
            <b/>
            <sz val="9"/>
            <color rgb="FFC55A11"/>
            <rFont val="Arial"/>
            <family val="2"/>
          </rPr>
          <t xml:space="preserve">Egen formulering – finns inte som eget delmål i SvKF 2022
</t>
        </r>
        <r>
          <rPr>
            <sz val="8"/>
            <color rgb="FF595959"/>
            <rFont val="Arial"/>
            <family val="2"/>
          </rPr>
          <t xml:space="preserve">Närliggande text i Svenska Kardiologföreningens Kompetensbeskrivning 2022 (uppdaterad 24 oktober 2024)
</t>
        </r>
        <r>
          <rPr>
            <i/>
            <sz val="8"/>
            <color rgb="FF595959"/>
            <rFont val="Arial"/>
            <family val="2"/>
          </rPr>
          <t xml:space="preserve">Koagulationsfysiologi finns inte i SvKF 2022.
</t>
        </r>
        <r>
          <rPr>
            <b/>
            <sz val="9"/>
            <color rgb="FF1B3A5C"/>
            <rFont val="Arial"/>
            <family val="2"/>
          </rPr>
          <t xml:space="preserve">
Venös tromboembolism · s. 13 · Socialstyrelsens mål: STc6
</t>
        </r>
        <r>
          <rPr>
            <sz val="9"/>
            <color rgb="FF000000"/>
            <rFont val="Arial"/>
            <family val="2"/>
          </rPr>
          <t xml:space="preserve">• Epidemiologi, riskfaktorer, patofysiologi, symtomatologi, diagnostik, behandling och prevention av venös tromboembolism, inklusive akut tromboflebit, djup ventrombos, akut lungemboli och kronisk tromboembolisk pulmonell hypertension.
</t>
        </r>
        <r>
          <rPr>
            <b/>
            <sz val="9"/>
            <color rgb="FF1B3A5C"/>
            <rFont val="Arial"/>
            <family val="2"/>
          </rPr>
          <t xml:space="preserve">
Klinisk farmakologi · s. 19 · Socialstyrelsens mål: ingår i de flesta c-målen
</t>
        </r>
        <r>
          <rPr>
            <sz val="9"/>
            <color rgb="FF000000"/>
            <rFont val="Arial"/>
            <family val="2"/>
          </rPr>
          <t>• Indikationer/kontraindikationer, farmakokinetik, verkningsmekanismer, vanliga och/eller allvarliga interaktioner, biverkningar och toxiska effekter för kardiovaskulära läkemedel, med fokus på följande grupper:
    – Antikoagulantia.</t>
        </r>
      </text>
    </comment>
    <comment ref="C92" authorId="0" shapeId="0" xr:uid="{00000000-0006-0000-0300-00003A000000}">
      <text>
        <r>
          <rPr>
            <b/>
            <sz val="9"/>
            <color rgb="FF1F4E79"/>
            <rFont val="Arial"/>
            <family val="2"/>
          </rPr>
          <t xml:space="preserve">Bygger på SvKF 2022 – egen formulering/konkretisering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Klinisk farmakologi · s. 19 · Socialstyrelsens mål: ingår i de flesta c-målen
</t>
        </r>
        <r>
          <rPr>
            <sz val="9"/>
            <color rgb="FF000000"/>
            <rFont val="Arial"/>
            <family val="2"/>
          </rPr>
          <t>• Indikationer/kontraindikationer, farmakokinetik, verkningsmekanismer, vanliga och/eller allvarliga interaktioner, biverkningar och toxiska effekter för kardiovaskulära läkemedel, med fokus på följande grupper:
    – Antikoagulantia.
    – Trombocythämmare.</t>
        </r>
      </text>
    </comment>
    <comment ref="C93" authorId="0" shapeId="0" xr:uid="{00000000-0006-0000-0300-00003B000000}">
      <text>
        <r>
          <rPr>
            <b/>
            <sz val="9"/>
            <color rgb="FFC55A11"/>
            <rFont val="Arial"/>
            <family val="2"/>
          </rPr>
          <t xml:space="preserve">Egen formulering – finns inte som eget delmål i SvKF 2022
</t>
        </r>
        <r>
          <rPr>
            <sz val="8"/>
            <color rgb="FF595959"/>
            <rFont val="Arial"/>
            <family val="2"/>
          </rPr>
          <t xml:space="preserve">Närliggande text i Svenska Kardiologföreningens Kompetensbeskrivning 2022 (uppdaterad 24 oktober 2024)
</t>
        </r>
        <r>
          <rPr>
            <i/>
            <sz val="8"/>
            <color rgb="FF595959"/>
            <rFont val="Arial"/>
            <family val="2"/>
          </rPr>
          <t xml:space="preserve">Reversering av antikoagulantia finns inte som eget delmål i SvKF 2022.
</t>
        </r>
        <r>
          <rPr>
            <b/>
            <sz val="9"/>
            <color rgb="FF1B3A5C"/>
            <rFont val="Arial"/>
            <family val="2"/>
          </rPr>
          <t xml:space="preserve">
Klinisk farmakologi · s. 19 · Socialstyrelsens mål: ingår i de flesta c-målen
</t>
        </r>
        <r>
          <rPr>
            <sz val="9"/>
            <color rgb="FF000000"/>
            <rFont val="Arial"/>
            <family val="2"/>
          </rPr>
          <t>• Indikationer/kontraindikationer, farmakokinetik, verkningsmekanismer, vanliga och/eller allvarliga interaktioner, biverkningar och toxiska effekter för kardiovaskulära läkemedel, med fokus på följande grupper:
    – Antikoagulantia.</t>
        </r>
      </text>
    </comment>
    <comment ref="C94" authorId="0" shapeId="0" xr:uid="{00000000-0006-0000-0300-00003C000000}">
      <text>
        <r>
          <rPr>
            <b/>
            <sz val="9"/>
            <color rgb="FFC55A11"/>
            <rFont val="Arial"/>
            <family val="2"/>
          </rPr>
          <t xml:space="preserve">Egen formulering – finns inte som eget delmål i SvKF 2022
</t>
        </r>
        <r>
          <rPr>
            <sz val="8"/>
            <color rgb="FF595959"/>
            <rFont val="Arial"/>
            <family val="2"/>
          </rPr>
          <t xml:space="preserve">Närliggande text i Svenska Kardiologföreningens Kompetensbeskrivning 2022 (uppdaterad 24 oktober 2024)
</t>
        </r>
        <r>
          <rPr>
            <i/>
            <sz val="8"/>
            <color rgb="FF595959"/>
            <rFont val="Arial"/>
            <family val="2"/>
          </rPr>
          <t xml:space="preserve">Koagulationsprover nämns inte i SvKF 2022.
</t>
        </r>
        <r>
          <rPr>
            <b/>
            <sz val="9"/>
            <color rgb="FF1B3A5C"/>
            <rFont val="Arial"/>
            <family val="2"/>
          </rPr>
          <t xml:space="preserve">
Klinisk farmakologi · s. 19 · Socialstyrelsens mål: ingår i de flesta c-målen
</t>
        </r>
        <r>
          <rPr>
            <sz val="9"/>
            <color rgb="FF000000"/>
            <rFont val="Arial"/>
            <family val="2"/>
          </rPr>
          <t>• Indikationer/kontraindikationer, farmakokinetik, verkningsmekanismer, vanliga och/eller allvarliga interaktioner, biverkningar och toxiska effekter för kardiovaskulära läkemedel, med fokus på följande grupper:
    – Antikoagulantia.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Rozh Kader</author>
  </authors>
  <commentList>
    <comment ref="C14" authorId="0" shapeId="0" xr:uid="{00000000-0006-0000-0400-000001000000}">
      <text>
        <r>
          <rPr>
            <b/>
            <sz val="9"/>
            <color rgb="FF2E7D32"/>
            <rFont val="Arial"/>
            <family val="2"/>
          </rPr>
          <t xml:space="preserve">Ordagrant / nära ordagrant ur SvKF 2022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</t>
        </r>
        <r>
          <rPr>
            <b/>
            <sz val="9"/>
            <color rgb="FF1B3A5C"/>
            <rFont val="Arial"/>
            <family val="2"/>
          </rPr>
          <t xml:space="preserve">Invasiv bild- och funktionsdiagnostik · s. 21 · Socialstyrelsens mål: STc7, STc8
</t>
        </r>
        <r>
          <rPr>
            <sz val="9"/>
            <color rgb="FF000000"/>
            <rFont val="Arial"/>
            <family val="2"/>
          </rPr>
          <t xml:space="preserve">• Utföra/assistera vid anläggande av arteriell access.
</t>
        </r>
        <r>
          <rPr>
            <b/>
            <sz val="9"/>
            <color rgb="FF1B3A5C"/>
            <rFont val="Arial"/>
            <family val="2"/>
          </rPr>
          <t xml:space="preserve">
</t>
        </r>
        <r>
          <rPr>
            <b/>
            <sz val="9"/>
            <color rgb="FF1B3A5C"/>
            <rFont val="Arial"/>
            <family val="2"/>
          </rPr>
          <t xml:space="preserve">Rekommendationslista – kompetensnivåer för färdigheter · s. 23
</t>
        </r>
        <r>
          <rPr>
            <sz val="9"/>
            <color rgb="FF000000"/>
            <rFont val="Arial"/>
            <family val="2"/>
          </rPr>
          <t xml:space="preserve">• Perifer arteriell och central venös access — nivå Sverige: 3, ESC: N/A
</t>
        </r>
        <r>
          <rPr>
            <sz val="9"/>
            <color rgb="FF000000"/>
            <rFont val="Arial"/>
            <family val="2"/>
          </rPr>
          <t>• Hemodynamisk monitorering med artärnål — nivå Sverige: 4, ESC: N/A</t>
        </r>
      </text>
    </comment>
    <comment ref="C15" authorId="0" shapeId="0" xr:uid="{00000000-0006-0000-0400-000002000000}">
      <text>
        <r>
          <rPr>
            <b/>
            <sz val="9"/>
            <color rgb="FF1F4E79"/>
            <rFont val="Arial"/>
            <family val="2"/>
          </rPr>
          <t xml:space="preserve">Bygger på SvKF 2022 – egen formulering/konkretisering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</t>
        </r>
        <r>
          <rPr>
            <b/>
            <sz val="9"/>
            <color rgb="FF1B3A5C"/>
            <rFont val="Arial"/>
            <family val="2"/>
          </rPr>
          <t xml:space="preserve">Akut omhändertagande av livshotande kardiologiska tillstånd · s. 8 · Socialstyrelsens mål: STc6
</t>
        </r>
        <r>
          <rPr>
            <sz val="9"/>
            <color rgb="FF000000"/>
            <rFont val="Arial"/>
            <family val="2"/>
          </rPr>
          <t xml:space="preserve">• Omhändertagande vid cirkulationsstillestånd och initiering respektive avbrytande av behandling.
</t>
        </r>
        <r>
          <rPr>
            <b/>
            <sz val="9"/>
            <color rgb="FF1B3A5C"/>
            <rFont val="Arial"/>
            <family val="2"/>
          </rPr>
          <t xml:space="preserve">
</t>
        </r>
        <r>
          <rPr>
            <b/>
            <sz val="9"/>
            <color rgb="FF1B3A5C"/>
            <rFont val="Arial"/>
            <family val="2"/>
          </rPr>
          <t xml:space="preserve">Rekommendationslista – kompetensnivåer för färdigheter · s. 23
</t>
        </r>
        <r>
          <rPr>
            <sz val="9"/>
            <color rgb="FF000000"/>
            <rFont val="Arial"/>
            <family val="2"/>
          </rPr>
          <t>• Avancerad HLR — nivå Sverige: 5, ESC: 5</t>
        </r>
      </text>
    </comment>
    <comment ref="C16" authorId="0" shapeId="0" xr:uid="{00000000-0006-0000-0400-000003000000}">
      <text>
        <r>
          <rPr>
            <b/>
            <sz val="9"/>
            <color rgb="FF2E7D32"/>
            <rFont val="Arial"/>
            <family val="2"/>
          </rPr>
          <t xml:space="preserve">Ordagrant / nära ordagrant ur SvKF 2022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</t>
        </r>
        <r>
          <rPr>
            <b/>
            <sz val="9"/>
            <color rgb="FF1B3A5C"/>
            <rFont val="Arial"/>
            <family val="2"/>
          </rPr>
          <t xml:space="preserve">Akut omhändertagande av livshotande kardiologiska tillstånd · s. 8 · Socialstyrelsens mål: STc6
</t>
        </r>
        <r>
          <rPr>
            <sz val="9"/>
            <color rgb="FF000000"/>
            <rFont val="Arial"/>
            <family val="2"/>
          </rPr>
          <t xml:space="preserve">• Perikardiocentes, delaktighet vid genomförande. Grundläggande praktisk kunskap för urakut handläggning.
</t>
        </r>
        <r>
          <rPr>
            <b/>
            <sz val="9"/>
            <color rgb="FF1B3A5C"/>
            <rFont val="Arial"/>
            <family val="2"/>
          </rPr>
          <t xml:space="preserve">
</t>
        </r>
        <r>
          <rPr>
            <b/>
            <sz val="9"/>
            <color rgb="FF1B3A5C"/>
            <rFont val="Arial"/>
            <family val="2"/>
          </rPr>
          <t xml:space="preserve">Perikardsjukdom · s. 14 · Socialstyrelsens mål: STc8, STc10
</t>
        </r>
        <r>
          <rPr>
            <sz val="9"/>
            <color rgb="FF000000"/>
            <rFont val="Arial"/>
            <family val="2"/>
          </rPr>
          <t xml:space="preserve">• Handläggning av hotande och manifest hjärttamponad samt grundläggande praktisk kunskap för utförandet av urakut perikardiocentes.
</t>
        </r>
        <r>
          <rPr>
            <b/>
            <sz val="9"/>
            <color rgb="FF1B3A5C"/>
            <rFont val="Arial"/>
            <family val="2"/>
          </rPr>
          <t xml:space="preserve">
</t>
        </r>
        <r>
          <rPr>
            <b/>
            <sz val="9"/>
            <color rgb="FF1B3A5C"/>
            <rFont val="Arial"/>
            <family val="2"/>
          </rPr>
          <t xml:space="preserve">Rekommendationslista – kompetensnivåer för färdigheter · s. 23
</t>
        </r>
        <r>
          <rPr>
            <sz val="9"/>
            <color rgb="FF000000"/>
            <rFont val="Arial"/>
            <family val="2"/>
          </rPr>
          <t>• Perikardiocentes, delaktighet vid genomförande — nivå Sverige: 2, ESC: 5</t>
        </r>
      </text>
    </comment>
    <comment ref="C17" authorId="0" shapeId="0" xr:uid="{00000000-0006-0000-0400-000004000000}">
      <text>
        <r>
          <rPr>
            <b/>
            <sz val="9"/>
            <color rgb="FF2E7D32"/>
            <rFont val="Arial"/>
            <family val="2"/>
          </rPr>
          <t xml:space="preserve">Ordagrant / nära ordagrant ur SvKF 2022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</t>
        </r>
        <r>
          <rPr>
            <b/>
            <sz val="9"/>
            <color rgb="FF1B3A5C"/>
            <rFont val="Arial"/>
            <family val="2"/>
          </rPr>
          <t xml:space="preserve">Arytmier och synkope › Bradykardier och device · s. 12 · Socialstyrelsens mål: STc6, STc9
</t>
        </r>
        <r>
          <rPr>
            <sz val="9"/>
            <color rgb="FF000000"/>
            <rFont val="Arial"/>
            <family val="2"/>
          </rPr>
          <t xml:space="preserve">• Extern/transkutan pacemakerbehandling
</t>
        </r>
        <r>
          <rPr>
            <b/>
            <sz val="9"/>
            <color rgb="FF1B3A5C"/>
            <rFont val="Arial"/>
            <family val="2"/>
          </rPr>
          <t xml:space="preserve">
</t>
        </r>
        <r>
          <rPr>
            <b/>
            <sz val="9"/>
            <color rgb="FF1B3A5C"/>
            <rFont val="Arial"/>
            <family val="2"/>
          </rPr>
          <t xml:space="preserve">Akut omhändertagande av livshotande kardiologiska tillstånd · s. 8 · Socialstyrelsens mål: STc6
</t>
        </r>
        <r>
          <rPr>
            <sz val="9"/>
            <color rgb="FF000000"/>
            <rFont val="Arial"/>
            <family val="2"/>
          </rPr>
          <t xml:space="preserve">• Akut elkonvertering och extern pacing.
</t>
        </r>
        <r>
          <rPr>
            <b/>
            <sz val="9"/>
            <color rgb="FF1B3A5C"/>
            <rFont val="Arial"/>
            <family val="2"/>
          </rPr>
          <t xml:space="preserve">
</t>
        </r>
        <r>
          <rPr>
            <b/>
            <sz val="9"/>
            <color rgb="FF1B3A5C"/>
            <rFont val="Arial"/>
            <family val="2"/>
          </rPr>
          <t xml:space="preserve">Rekommendationslista – kompetensnivåer för färdigheter · s. 23
</t>
        </r>
        <r>
          <rPr>
            <sz val="9"/>
            <color rgb="FF000000"/>
            <rFont val="Arial"/>
            <family val="2"/>
          </rPr>
          <t>• Extern pacemakerbehandling — nivå Sverige: 5, ESC: N/A</t>
        </r>
      </text>
    </comment>
    <comment ref="C18" authorId="0" shapeId="0" xr:uid="{00000000-0006-0000-0400-000005000000}">
      <text>
        <r>
          <rPr>
            <b/>
            <sz val="9"/>
            <color rgb="FFC55A11"/>
            <rFont val="Arial"/>
            <family val="2"/>
          </rPr>
          <t xml:space="preserve">Egen formulering – finns inte som eget delmål i SvKF 2022
</t>
        </r>
        <r>
          <rPr>
            <sz val="8"/>
            <color rgb="FF595959"/>
            <rFont val="Arial"/>
            <family val="2"/>
          </rPr>
          <t xml:space="preserve">Närliggande text i Svenska Kardiologföreningens Kompetensbeskrivning 2022 (uppdaterad 24 oktober 2024)
</t>
        </r>
        <r>
          <rPr>
            <i/>
            <sz val="8"/>
            <color rgb="FF595959"/>
            <rFont val="Arial"/>
            <family val="2"/>
          </rPr>
          <t xml:space="preserve">LUCAS/mekanisk kompression nämns inte i SvKF 2022.
</t>
        </r>
        <r>
          <rPr>
            <b/>
            <sz val="9"/>
            <color rgb="FF1B3A5C"/>
            <rFont val="Arial"/>
            <family val="2"/>
          </rPr>
          <t xml:space="preserve">
</t>
        </r>
        <r>
          <rPr>
            <b/>
            <sz val="9"/>
            <color rgb="FF1B3A5C"/>
            <rFont val="Arial"/>
            <family val="2"/>
          </rPr>
          <t xml:space="preserve">Akut omhändertagande av livshotande kardiologiska tillstånd · s. 8 · Socialstyrelsens mål: STc6
</t>
        </r>
        <r>
          <rPr>
            <sz val="9"/>
            <color rgb="FF000000"/>
            <rFont val="Arial"/>
            <family val="2"/>
          </rPr>
          <t xml:space="preserve">• Omhändertagande vid cirkulationsstillestånd och initiering respektive avbrytande av behandling.
</t>
        </r>
        <r>
          <rPr>
            <b/>
            <sz val="9"/>
            <color rgb="FF1B3A5C"/>
            <rFont val="Arial"/>
            <family val="2"/>
          </rPr>
          <t xml:space="preserve">
</t>
        </r>
        <r>
          <rPr>
            <b/>
            <sz val="9"/>
            <color rgb="FF1B3A5C"/>
            <rFont val="Arial"/>
            <family val="2"/>
          </rPr>
          <t xml:space="preserve">Rekommendationslista – kompetensnivåer för färdigheter · s. 23
</t>
        </r>
        <r>
          <rPr>
            <sz val="9"/>
            <color rgb="FF000000"/>
            <rFont val="Arial"/>
            <family val="2"/>
          </rPr>
          <t>• Avancerad HLR — nivå Sverige: 5, ESC: 5</t>
        </r>
      </text>
    </comment>
    <comment ref="C19" authorId="0" shapeId="0" xr:uid="{00000000-0006-0000-0400-000006000000}">
      <text>
        <r>
          <rPr>
            <b/>
            <sz val="9"/>
            <color rgb="FF2E7D32"/>
            <rFont val="Arial"/>
            <family val="2"/>
          </rPr>
          <t xml:space="preserve">Ordagrant / nära ordagrant ur SvKF 2022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</t>
        </r>
        <r>
          <rPr>
            <b/>
            <sz val="9"/>
            <color rgb="FF1B3A5C"/>
            <rFont val="Arial"/>
            <family val="2"/>
          </rPr>
          <t xml:space="preserve">Akut omhändertagande av livshotande kardiologiska tillstånd · s. 8 · Socialstyrelsens mål: STc6
</t>
        </r>
        <r>
          <rPr>
            <sz val="9"/>
            <color rgb="FF000000"/>
            <rFont val="Arial"/>
            <family val="2"/>
          </rPr>
          <t xml:space="preserve">• Akut elkonvertering och extern pacing.
</t>
        </r>
        <r>
          <rPr>
            <b/>
            <sz val="9"/>
            <color rgb="FF1B3A5C"/>
            <rFont val="Arial"/>
            <family val="2"/>
          </rPr>
          <t xml:space="preserve">
</t>
        </r>
        <r>
          <rPr>
            <b/>
            <sz val="9"/>
            <color rgb="FF1B3A5C"/>
            <rFont val="Arial"/>
            <family val="2"/>
          </rPr>
          <t xml:space="preserve">Rekommendationslista – kompetensnivåer för färdigheter · s. 23
</t>
        </r>
        <r>
          <rPr>
            <sz val="9"/>
            <color rgb="FF000000"/>
            <rFont val="Arial"/>
            <family val="2"/>
          </rPr>
          <t>• Elkonvertering — nivå Sverige: 5, ESC: 5</t>
        </r>
      </text>
    </comment>
    <comment ref="C20" authorId="0" shapeId="0" xr:uid="{00000000-0006-0000-0400-000007000000}">
      <text>
        <r>
          <rPr>
            <b/>
            <sz val="9"/>
            <color rgb="FF2E7D32"/>
            <rFont val="Arial"/>
            <family val="2"/>
          </rPr>
          <t xml:space="preserve">Ordagrant / nära ordagrant ur SvKF 2022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</t>
        </r>
        <r>
          <rPr>
            <b/>
            <sz val="9"/>
            <color rgb="FF1B3A5C"/>
            <rFont val="Arial"/>
            <family val="2"/>
          </rPr>
          <t xml:space="preserve">Akut omhändertagande av livshotande kardiologiska tillstånd · s. 8 · Socialstyrelsens mål: STc6
</t>
        </r>
        <r>
          <rPr>
            <sz val="9"/>
            <color rgb="FF000000"/>
            <rFont val="Arial"/>
            <family val="2"/>
          </rPr>
          <t xml:space="preserve">• Indikationer för ICD samt inaktivering med programmerare respektive magnet.
</t>
        </r>
        <r>
          <rPr>
            <b/>
            <sz val="9"/>
            <color rgb="FF1B3A5C"/>
            <rFont val="Arial"/>
            <family val="2"/>
          </rPr>
          <t xml:space="preserve">
</t>
        </r>
        <r>
          <rPr>
            <b/>
            <sz val="9"/>
            <color rgb="FF1B3A5C"/>
            <rFont val="Arial"/>
            <family val="2"/>
          </rPr>
          <t xml:space="preserve">Arytmier och synkope › Bradykardier och device · s. 12 · Socialstyrelsens mål: STc6, STc9
</t>
        </r>
        <r>
          <rPr>
            <sz val="9"/>
            <color rgb="FF000000"/>
            <rFont val="Arial"/>
            <family val="2"/>
          </rPr>
          <t xml:space="preserve">• Pacemaker- och ICD-avläsning samt basal programmering:
</t>
        </r>
        <r>
          <rPr>
            <sz val="9"/>
            <color rgb="FF000000"/>
            <rFont val="Arial"/>
            <family val="2"/>
          </rPr>
          <t xml:space="preserve">    – Stänga av takykardibrytande terapier på en ICD (magnet och omprogrammering).
</t>
        </r>
        <r>
          <rPr>
            <b/>
            <sz val="9"/>
            <color rgb="FF1B3A5C"/>
            <rFont val="Arial"/>
            <family val="2"/>
          </rPr>
          <t xml:space="preserve">
</t>
        </r>
        <r>
          <rPr>
            <b/>
            <sz val="9"/>
            <color rgb="FF1B3A5C"/>
            <rFont val="Arial"/>
            <family val="2"/>
          </rPr>
          <t xml:space="preserve">Rekommendationslista – kompetensnivåer för färdigheter · s. 23
</t>
        </r>
        <r>
          <rPr>
            <sz val="9"/>
            <color rgb="FF000000"/>
            <rFont val="Arial"/>
            <family val="2"/>
          </rPr>
          <t xml:space="preserve">• ICD: Avstängning av chockterapier med programmerare — nivå Sverige: 4, ESC: N/A
</t>
        </r>
        <r>
          <rPr>
            <b/>
            <sz val="9"/>
            <color rgb="FF1B3A5C"/>
            <rFont val="Arial"/>
            <family val="2"/>
          </rPr>
          <t xml:space="preserve">
</t>
        </r>
        <r>
          <rPr>
            <b/>
            <sz val="9"/>
            <color rgb="FF1B3A5C"/>
            <rFont val="Arial"/>
            <family val="2"/>
          </rPr>
          <t xml:space="preserve">Arytmier och synkope › Takykardier · s. 12 · Socialstyrelsens mål: STc6, STc9
</t>
        </r>
        <r>
          <rPr>
            <sz val="9"/>
            <color rgb="FF000000"/>
            <rFont val="Arial"/>
            <family val="2"/>
          </rPr>
          <t>• Inaktivering av en ICD med magnet och programmerare samt avslutande av ICD-behandling i livets slutskede.</t>
        </r>
      </text>
    </comment>
    <comment ref="C21" authorId="0" shapeId="0" xr:uid="{00000000-0006-0000-0400-000008000000}">
      <text>
        <r>
          <rPr>
            <b/>
            <sz val="9"/>
            <color rgb="FF1F4E79"/>
            <rFont val="Arial"/>
            <family val="2"/>
          </rPr>
          <t xml:space="preserve">Bygger på SvKF 2022 – egen formulering/konkretisering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i/>
            <sz val="8"/>
            <color rgb="FF595959"/>
            <rFont val="Arial"/>
            <family val="2"/>
          </rPr>
          <t xml:space="preserve">Fokuserat eko i akuta lägen är en konkretisering.
</t>
        </r>
        <r>
          <rPr>
            <b/>
            <sz val="9"/>
            <color rgb="FF1B3A5C"/>
            <rFont val="Arial"/>
            <family val="2"/>
          </rPr>
          <t xml:space="preserve">
</t>
        </r>
        <r>
          <rPr>
            <b/>
            <sz val="9"/>
            <color rgb="FF1B3A5C"/>
            <rFont val="Arial"/>
            <family val="2"/>
          </rPr>
          <t xml:space="preserve">Noninvasiv bild- och funktionsdiagnostik › Utföra och tolka · s. 20 · Socialstyrelsens mål: STc7
</t>
        </r>
        <r>
          <rPr>
            <sz val="9"/>
            <color rgb="FF000000"/>
            <rFont val="Arial"/>
            <family val="2"/>
          </rPr>
          <t xml:space="preserve">• Transthorakal ekokardiografi (TTE).
</t>
        </r>
        <r>
          <rPr>
            <b/>
            <sz val="9"/>
            <color rgb="FF1B3A5C"/>
            <rFont val="Arial"/>
            <family val="2"/>
          </rPr>
          <t xml:space="preserve">
</t>
        </r>
        <r>
          <rPr>
            <b/>
            <sz val="9"/>
            <color rgb="FF1B3A5C"/>
            <rFont val="Arial"/>
            <family val="2"/>
          </rPr>
          <t xml:space="preserve">Rekommendationslista – kompetensnivåer för färdigheter · s. 23
</t>
        </r>
        <r>
          <rPr>
            <sz val="9"/>
            <color rgb="FF000000"/>
            <rFont val="Arial"/>
            <family val="2"/>
          </rPr>
          <t>• Transthorakal basal ekokardiografi med doppler (TTE) — nivå Sverige: 5, ESC: 5</t>
        </r>
      </text>
    </comment>
    <comment ref="C22" authorId="0" shapeId="0" xr:uid="{00000000-0006-0000-0400-000009000000}">
      <text>
        <r>
          <rPr>
            <b/>
            <sz val="9"/>
            <color rgb="FF2E7D32"/>
            <rFont val="Arial"/>
            <family val="2"/>
          </rPr>
          <t xml:space="preserve">Ordagrant / nära ordagrant ur SvKF 2022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Akut omhändertagande av livshotande kardiologiska tillstånd · s. 8 · Socialstyrelsens mål: STc6
</t>
        </r>
        <r>
          <rPr>
            <sz val="9"/>
            <color rgb="FF000000"/>
            <rFont val="Arial"/>
            <family val="2"/>
          </rPr>
          <t xml:space="preserve">• Indikationer för noninvasiv ventilation vid hjärtsjukdom.
</t>
        </r>
        <r>
          <rPr>
            <b/>
            <sz val="9"/>
            <color rgb="FF1B3A5C"/>
            <rFont val="Arial"/>
            <family val="2"/>
          </rPr>
          <t xml:space="preserve">
Rekommendationslista – kompetensnivåer för färdigheter · s. 23
</t>
        </r>
        <r>
          <rPr>
            <sz val="9"/>
            <color rgb="FF000000"/>
            <rFont val="Arial"/>
            <family val="2"/>
          </rPr>
          <t>• Non-invasiv ventilatorbehandling med CPAP — nivå Sverige: 5, ESC: N/A</t>
        </r>
      </text>
    </comment>
    <comment ref="C28" authorId="0" shapeId="0" xr:uid="{00000000-0006-0000-0400-00000A000000}">
      <text>
        <r>
          <rPr>
            <b/>
            <sz val="9"/>
            <color rgb="FF1F4E79"/>
            <rFont val="Arial"/>
            <family val="2"/>
          </rPr>
          <t xml:space="preserve">Bygger på SvKF 2022 – egen formulering/konkretisering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i/>
            <sz val="8"/>
            <color rgb="FF595959"/>
            <rFont val="Arial"/>
            <family val="2"/>
          </rPr>
          <t xml:space="preserve">SCAI-klassifikationen är tillagd.
</t>
        </r>
        <r>
          <rPr>
            <b/>
            <sz val="9"/>
            <color rgb="FF1B3A5C"/>
            <rFont val="Arial"/>
            <family val="2"/>
          </rPr>
          <t xml:space="preserve">
Akut omhändertagande av livshotande kardiologiska tillstånd · s. 8 · Socialstyrelsens mål: STc6
</t>
        </r>
        <r>
          <rPr>
            <sz val="9"/>
            <color rgb="FF000000"/>
            <rFont val="Arial"/>
            <family val="2"/>
          </rPr>
          <t>• Klassifikation, epidemiologi, orsaker, patofysiologi, klinisk bild, differentialdiagnoser, diagnostik, behandling och prognos vid hjärtstillestånd, akuta hjärtsjukdomar och mekaniska komplikationer.
• Diagnostik och handläggning av patient med hemodynamisk instabilitet/chock.</t>
        </r>
      </text>
    </comment>
    <comment ref="C29" authorId="0" shapeId="0" xr:uid="{00000000-0006-0000-0400-00000B000000}">
      <text>
        <r>
          <rPr>
            <b/>
            <sz val="9"/>
            <color rgb="FF1F4E79"/>
            <rFont val="Arial"/>
            <family val="2"/>
          </rPr>
          <t xml:space="preserve">Bygger på SvKF 2022 – egen formulering/konkretisering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Akut omhändertagande av livshotande kardiologiska tillstånd · s. 8 · Socialstyrelsens mål: STc6
</t>
        </r>
        <r>
          <rPr>
            <sz val="9"/>
            <color rgb="FF000000"/>
            <rFont val="Arial"/>
            <family val="2"/>
          </rPr>
          <t xml:space="preserve">• Klassifikation, epidemiologi, orsaker, patofysiologi, klinisk bild, differentialdiagnoser, diagnostik, behandling och prognos vid hjärtstillestånd, akuta hjärtsjukdomar och mekaniska komplikationer.
</t>
        </r>
        <r>
          <rPr>
            <b/>
            <sz val="9"/>
            <color rgb="FF1B3A5C"/>
            <rFont val="Arial"/>
            <family val="2"/>
          </rPr>
          <t xml:space="preserve">
Arytmier och synkope · s. 11 · Socialstyrelsens mål: STc6, STc9
</t>
        </r>
        <r>
          <rPr>
            <sz val="9"/>
            <color rgb="FF000000"/>
            <rFont val="Arial"/>
            <family val="2"/>
          </rPr>
          <t>• Klassifikation, epidemiologi, orsaker, patofysiologi, klinisk bild, differentialdiagnoser, diagnostik, behandling och prognos vid supraventrikulära och ventrikulära takyarytmier, bradykardier samt synkope.</t>
        </r>
      </text>
    </comment>
    <comment ref="C30" authorId="0" shapeId="0" xr:uid="{00000000-0006-0000-0400-00000C000000}">
      <text>
        <r>
          <rPr>
            <b/>
            <sz val="9"/>
            <color rgb="FF1F4E79"/>
            <rFont val="Arial"/>
            <family val="2"/>
          </rPr>
          <t xml:space="preserve">Bygger på SvKF 2022 – egen formulering/konkretisering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Hjärtsvikt, kardiomyopatier och pulmonell hypertension · s. 10 · Socialstyrelsens mål: STc8
</t>
        </r>
        <r>
          <rPr>
            <sz val="9"/>
            <color rgb="FF000000"/>
            <rFont val="Arial"/>
            <family val="2"/>
          </rPr>
          <t>• Bedömning av hemodynamiskt status, symtom och differentialdiagnoser vid hjärtsvikt.
• Handläggning av akut hjärtsvikt och lungödem inklusive noninvasiv ventilation.
• Definition, klassifikation, epidemiologi, riskfaktorer, etiologier, patofysiologi och prognos vid akut hjärtsvikt och kronisk hjärtsvikt i relation till grad av kammardysfunktion.</t>
        </r>
      </text>
    </comment>
    <comment ref="C31" authorId="0" shapeId="0" xr:uid="{00000000-0006-0000-0400-00000D000000}">
      <text>
        <r>
          <rPr>
            <b/>
            <sz val="9"/>
            <color rgb="FF1F4E79"/>
            <rFont val="Arial"/>
            <family val="2"/>
          </rPr>
          <t xml:space="preserve">Bygger på SvKF 2022 – egen formulering/konkretisering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Akut omhändertagande av livshotande kardiologiska tillstånd · s. 8 · Socialstyrelsens mål: STc6
</t>
        </r>
        <r>
          <rPr>
            <sz val="9"/>
            <color rgb="FF000000"/>
            <rFont val="Arial"/>
            <family val="2"/>
          </rPr>
          <t xml:space="preserve">• Klassifikation, epidemiologi, orsaker, patofysiologi, klinisk bild, differentialdiagnoser, diagnostik, behandling och prognos vid hjärtstillestånd, akuta hjärtsjukdomar och mekaniska komplikationer.
</t>
        </r>
        <r>
          <rPr>
            <b/>
            <sz val="9"/>
            <color rgb="FF1B3A5C"/>
            <rFont val="Arial"/>
            <family val="2"/>
          </rPr>
          <t xml:space="preserve">
Myokarditer · s. 15 · Socialstyrelsens mål: STc8, STc10
</t>
        </r>
        <r>
          <rPr>
            <sz val="9"/>
            <color rgb="FF000000"/>
            <rFont val="Arial"/>
            <family val="2"/>
          </rPr>
          <t>• Definition, orsaker, kliniska tecken, symtom, patologi, utredning, prognos och diagnostiska kriterier för infektiös och icke-infektiös myokardit.
• Behandling av myokardit och dess komplikationer.</t>
        </r>
      </text>
    </comment>
    <comment ref="C32" authorId="0" shapeId="0" xr:uid="{00000000-0006-0000-0400-00000E000000}">
      <text>
        <r>
          <rPr>
            <b/>
            <sz val="9"/>
            <color rgb="FF2E7D32"/>
            <rFont val="Arial"/>
            <family val="2"/>
          </rPr>
          <t xml:space="preserve">Ordagrant / nära ordagrant ur SvKF 2022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Akut omhändertagande av livshotande kardiologiska tillstånd · s. 8 · Socialstyrelsens mål: STc6
</t>
        </r>
        <r>
          <rPr>
            <sz val="9"/>
            <color rgb="FF000000"/>
            <rFont val="Arial"/>
            <family val="2"/>
          </rPr>
          <t xml:space="preserve">• Klassifikation, epidemiologi, orsaker, patofysiologi, klinisk bild, differentialdiagnoser, diagnostik, behandling och prognos vid hjärtstillestånd, akuta hjärtsjukdomar och mekaniska komplikationer.
</t>
        </r>
        <r>
          <rPr>
            <b/>
            <sz val="9"/>
            <color rgb="FF1B3A5C"/>
            <rFont val="Arial"/>
            <family val="2"/>
          </rPr>
          <t xml:space="preserve">
Akut koronart syndrom (AKS) · s. 9 · Socialstyrelsens mål: STc7
</t>
        </r>
        <r>
          <rPr>
            <sz val="9"/>
            <color rgb="FF000000"/>
            <rFont val="Arial"/>
            <family val="2"/>
          </rPr>
          <t>• Komplikationer till AKS såsom arytmier, akut hjärtsvikt, hemodynamisk instabilitet, kardiogen chock, och akuta mekaniska komplikationer (klaffinsufficienser, VSD och hjärttamponad).</t>
        </r>
      </text>
    </comment>
    <comment ref="C33" authorId="0" shapeId="0" xr:uid="{00000000-0006-0000-0400-00000F000000}">
      <text>
        <r>
          <rPr>
            <b/>
            <sz val="9"/>
            <color rgb="FF1F4E79"/>
            <rFont val="Arial"/>
            <family val="2"/>
          </rPr>
          <t xml:space="preserve">Bygger på SvKF 2022 – egen formulering/konkretisering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Perikardsjukdom · s. 14 · Socialstyrelsens mål: STc8, STc10
</t>
        </r>
        <r>
          <rPr>
            <sz val="9"/>
            <color rgb="FF000000"/>
            <rFont val="Arial"/>
            <family val="2"/>
          </rPr>
          <t xml:space="preserve">• Handläggning av hotande och manifest hjärttamponad samt grundläggande praktisk kunskap för utförandet av urakut perikardiocentes.
</t>
        </r>
        <r>
          <rPr>
            <b/>
            <sz val="9"/>
            <color rgb="FF1B3A5C"/>
            <rFont val="Arial"/>
            <family val="2"/>
          </rPr>
          <t xml:space="preserve">
Akut koronart syndrom (AKS) · s. 9 · Socialstyrelsens mål: STc7
</t>
        </r>
        <r>
          <rPr>
            <sz val="9"/>
            <color rgb="FF000000"/>
            <rFont val="Arial"/>
            <family val="2"/>
          </rPr>
          <t xml:space="preserve">• Komplikationer till AKS såsom arytmier, akut hjärtsvikt, hemodynamisk instabilitet, kardiogen chock, och akuta mekaniska komplikationer (klaffinsufficienser, VSD och hjärttamponad).
</t>
        </r>
        <r>
          <rPr>
            <b/>
            <sz val="9"/>
            <color rgb="FF1B3A5C"/>
            <rFont val="Arial"/>
            <family val="2"/>
          </rPr>
          <t xml:space="preserve">
Hjärttumörer och kardiella komplikationer vid onkologisk sjukdom · s. 15 · Socialstyrelsens mål: STc10
</t>
        </r>
        <r>
          <rPr>
            <sz val="9"/>
            <color rgb="FF000000"/>
            <rFont val="Arial"/>
            <family val="2"/>
          </rPr>
          <t>• Komplikationer och hemodynamiska konsekvenser vid:
    – Perikardengagemang (konstriktion och tamponad).</t>
        </r>
      </text>
    </comment>
    <comment ref="C34" authorId="0" shapeId="0" xr:uid="{00000000-0006-0000-0400-000010000000}">
      <text>
        <r>
          <rPr>
            <b/>
            <sz val="9"/>
            <color rgb="FF1F4E79"/>
            <rFont val="Arial"/>
            <family val="2"/>
          </rPr>
          <t xml:space="preserve">Bygger på SvKF 2022 – egen formulering/konkretisering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Aortasjukdomar · s. 13 · Socialstyrelsens mål: STc6, STc11
</t>
        </r>
        <r>
          <rPr>
            <sz val="9"/>
            <color rgb="FF000000"/>
            <rFont val="Arial"/>
            <family val="2"/>
          </rPr>
          <t>• Klassifikation, epidemiologi, orsaker, patofysiologi, klinisk bild, differentialdiagnoser, diagnostik, behandling, prognos och uppföljning vid thorakal aortasjukdom.
• Akut omhändertagande av patient med akut aortasyndrom.</t>
        </r>
      </text>
    </comment>
    <comment ref="C35" authorId="0" shapeId="0" xr:uid="{00000000-0006-0000-0400-000011000000}">
      <text>
        <r>
          <rPr>
            <b/>
            <sz val="9"/>
            <color rgb="FF1F4E79"/>
            <rFont val="Arial"/>
            <family val="2"/>
          </rPr>
          <t xml:space="preserve">Bygger på SvKF 2022 – egen formulering/konkretisering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i/>
            <sz val="8"/>
            <color rgb="FF595959"/>
            <rFont val="Arial"/>
            <family val="2"/>
          </rPr>
          <t xml:space="preserve">Läkemedelsexemplen är tillagda.
</t>
        </r>
        <r>
          <rPr>
            <b/>
            <sz val="9"/>
            <color rgb="FF1B3A5C"/>
            <rFont val="Arial"/>
            <family val="2"/>
          </rPr>
          <t xml:space="preserve">
Klinisk farmakologi · s. 19 · Socialstyrelsens mål: ingår i de flesta c-målen
</t>
        </r>
        <r>
          <rPr>
            <sz val="9"/>
            <color rgb="FF000000"/>
            <rFont val="Arial"/>
            <family val="2"/>
          </rPr>
          <t xml:space="preserve">• Indikationer/kontraindikationer, farmakokinetik, verkningsmekanismer, vanliga och/eller allvarliga interaktioner, biverkningar och toxiska effekter för kardiovaskulära läkemedel, med fokus på följande grupper:
    – Antiarytmika.
</t>
        </r>
        <r>
          <rPr>
            <b/>
            <sz val="9"/>
            <color rgb="FF1B3A5C"/>
            <rFont val="Arial"/>
            <family val="2"/>
          </rPr>
          <t xml:space="preserve">
Arytmier och synkope › Takykardier · s. 11 · Socialstyrelsens mål: STc6, STc9
</t>
        </r>
        <r>
          <rPr>
            <sz val="9"/>
            <color rgb="FF000000"/>
            <rFont val="Arial"/>
            <family val="2"/>
          </rPr>
          <t xml:space="preserve">• Antiarytmisk läkemedelsbehandling (inklusive proarytmier) av supraventrikulära och ventrikulära takykardier.
</t>
        </r>
        <r>
          <rPr>
            <b/>
            <sz val="9"/>
            <color rgb="FF1B3A5C"/>
            <rFont val="Arial"/>
            <family val="2"/>
          </rPr>
          <t xml:space="preserve">
Arytmier och synkope · s. 11 · Socialstyrelsens mål: STc6, STc9
</t>
        </r>
        <r>
          <rPr>
            <sz val="9"/>
            <color rgb="FF000000"/>
            <rFont val="Arial"/>
            <family val="2"/>
          </rPr>
          <t>• Klassifikation, epidemiologi, orsaker, patofysiologi, klinisk bild, differentialdiagnoser, diagnostik, behandling och prognos vid supraventrikulära och ventrikulära takyarytmier, bradykardier samt synkope.</t>
        </r>
      </text>
    </comment>
    <comment ref="C36" authorId="0" shapeId="0" xr:uid="{00000000-0006-0000-0400-000012000000}">
      <text>
        <r>
          <rPr>
            <b/>
            <sz val="9"/>
            <color rgb="FF1F4E79"/>
            <rFont val="Arial"/>
            <family val="2"/>
          </rPr>
          <t xml:space="preserve">Bygger på SvKF 2022 – egen formulering/konkretisering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Klinisk farmakologi · s. 19 · Socialstyrelsens mål: ingår i de flesta c-målen
</t>
        </r>
        <r>
          <rPr>
            <sz val="9"/>
            <color rgb="FF000000"/>
            <rFont val="Arial"/>
            <family val="2"/>
          </rPr>
          <t xml:space="preserve">• Indikationer/kontraindikationer, farmakokinetik, verkningsmekanismer, vanliga och/eller allvarliga interaktioner, biverkningar och toxiska effekter för kardiovaskulära läkemedel, med fokus på följande grupper:
    – Inotropa och vasoaktiva läkemedel.
</t>
        </r>
        <r>
          <rPr>
            <b/>
            <sz val="9"/>
            <color rgb="FF1B3A5C"/>
            <rFont val="Arial"/>
            <family val="2"/>
          </rPr>
          <t xml:space="preserve">
Akut omhändertagande av livshotande kardiologiska tillstånd · s. 8 · Socialstyrelsens mål: STc6
</t>
        </r>
        <r>
          <rPr>
            <sz val="9"/>
            <color rgb="FF000000"/>
            <rFont val="Arial"/>
            <family val="2"/>
          </rPr>
          <t>• Läkemedelsbehandling vid hemodynamisk instabilitet.</t>
        </r>
      </text>
    </comment>
    <comment ref="C37" authorId="0" shapeId="0" xr:uid="{00000000-0006-0000-0400-000013000000}">
      <text>
        <r>
          <rPr>
            <b/>
            <sz val="9"/>
            <color rgb="FF1F4E79"/>
            <rFont val="Arial"/>
            <family val="2"/>
          </rPr>
          <t xml:space="preserve">Bygger på SvKF 2022 – egen formulering/konkretisering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Venös tromboembolism · s. 13 · Socialstyrelsens mål: STc6
</t>
        </r>
        <r>
          <rPr>
            <sz val="9"/>
            <color rgb="FF000000"/>
            <rFont val="Arial"/>
            <family val="2"/>
          </rPr>
          <t xml:space="preserve">• Epidemiologi, riskfaktorer, patofysiologi, symtomatologi, diagnostik, behandling och prevention av venös tromboembolism, inklusive akut tromboflebit, djup ventrombos, akut lungemboli och kronisk tromboembolisk pulmonell hypertension.
</t>
        </r>
        <r>
          <rPr>
            <b/>
            <sz val="9"/>
            <color rgb="FF1B3A5C"/>
            <rFont val="Arial"/>
            <family val="2"/>
          </rPr>
          <t xml:space="preserve">
Hjärtsvikt, kardiomyopatier och pulmonell hypertension · s. 10 · Socialstyrelsens mål: STc8
</t>
        </r>
        <r>
          <rPr>
            <sz val="9"/>
            <color rgb="FF000000"/>
            <rFont val="Arial"/>
            <family val="2"/>
          </rPr>
          <t>• Högerkammarsvikt.</t>
        </r>
      </text>
    </comment>
    <comment ref="C39" authorId="0" shapeId="0" xr:uid="{00000000-0006-0000-0400-000014000000}">
      <text>
        <r>
          <rPr>
            <b/>
            <sz val="9"/>
            <color rgb="FF1F4E79"/>
            <rFont val="Arial"/>
            <family val="2"/>
          </rPr>
          <t xml:space="preserve">Bygger på SvKF 2022 – egen formulering/konkretisering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Akut omhändertagande av livshotande kardiologiska tillstånd · s. 8 · Socialstyrelsens mål: STc6
</t>
        </r>
        <r>
          <rPr>
            <sz val="9"/>
            <color rgb="FF000000"/>
            <rFont val="Arial"/>
            <family val="2"/>
          </rPr>
          <t xml:space="preserve">• Klassifikation, epidemiologi, orsaker, patofysiologi, klinisk bild, differentialdiagnoser, diagnostik, behandling och prognos vid hjärtstillestånd, akuta hjärtsjukdomar och mekaniska komplikationer.
</t>
        </r>
        <r>
          <rPr>
            <b/>
            <sz val="9"/>
            <color rgb="FF1B3A5C"/>
            <rFont val="Arial"/>
            <family val="2"/>
          </rPr>
          <t xml:space="preserve">
Akut koronart syndrom (AKS) · s. 9 · Socialstyrelsens mål: STc7
</t>
        </r>
        <r>
          <rPr>
            <sz val="9"/>
            <color rgb="FF000000"/>
            <rFont val="Arial"/>
            <family val="2"/>
          </rPr>
          <t>• Diagnostik av AKS inkluderande anamnes, status, klinisk bild, EKG, ischemimonitorering och biokemiska markörer, samt klassifikation av hjärtinfarkt.</t>
        </r>
      </text>
    </comment>
    <comment ref="C40" authorId="0" shapeId="0" xr:uid="{00000000-0006-0000-0400-000015000000}">
      <text>
        <r>
          <rPr>
            <b/>
            <sz val="9"/>
            <color rgb="FF1F4E79"/>
            <rFont val="Arial"/>
            <family val="2"/>
          </rPr>
          <t xml:space="preserve">Bygger på SvKF 2022 – egen formulering/konkretisering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Hjärtsvikt, kardiomyopatier och pulmonell hypertension · s. 10 · Socialstyrelsens mål: STc8
</t>
        </r>
        <r>
          <rPr>
            <sz val="9"/>
            <color rgb="FF000000"/>
            <rFont val="Arial"/>
            <family val="2"/>
          </rPr>
          <t xml:space="preserve">• Högerkammarsvikt.
</t>
        </r>
        <r>
          <rPr>
            <b/>
            <sz val="9"/>
            <color rgb="FF1B3A5C"/>
            <rFont val="Arial"/>
            <family val="2"/>
          </rPr>
          <t xml:space="preserve">
Akut omhändertagande av livshotande kardiologiska tillstånd · s. 8 · Socialstyrelsens mål: STc6
</t>
        </r>
        <r>
          <rPr>
            <sz val="9"/>
            <color rgb="FF000000"/>
            <rFont val="Arial"/>
            <family val="2"/>
          </rPr>
          <t xml:space="preserve">• Vätskebalans vid hemodynamisk instabilitet och akut hjärtsjukdom.
</t>
        </r>
        <r>
          <rPr>
            <b/>
            <sz val="9"/>
            <color rgb="FF1B3A5C"/>
            <rFont val="Arial"/>
            <family val="2"/>
          </rPr>
          <t xml:space="preserve">
Akut koronart syndrom (AKS) · s. 9 · Socialstyrelsens mål: STc7
</t>
        </r>
        <r>
          <rPr>
            <sz val="9"/>
            <color rgb="FF000000"/>
            <rFont val="Arial"/>
            <family val="2"/>
          </rPr>
          <t>• Komplikationer till AKS såsom arytmier, akut hjärtsvikt, hemodynamisk instabilitet, kardiogen chock, och akuta mekaniska komplikationer (klaffinsufficienser, VSD och hjärttamponad).</t>
        </r>
      </text>
    </comment>
    <comment ref="C41" authorId="0" shapeId="0" xr:uid="{00000000-0006-0000-0400-000016000000}">
      <text>
        <r>
          <rPr>
            <b/>
            <sz val="9"/>
            <color rgb="FF1F4E79"/>
            <rFont val="Arial"/>
            <family val="2"/>
          </rPr>
          <t xml:space="preserve">Bygger på SvKF 2022 – egen formulering/konkretisering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Akut omhändertagande av livshotande kardiologiska tillstånd · s. 8 · Socialstyrelsens mål: STc6
</t>
        </r>
        <r>
          <rPr>
            <sz val="9"/>
            <color rgb="FF000000"/>
            <rFont val="Arial"/>
            <family val="2"/>
          </rPr>
          <t xml:space="preserve">• Handläggning av patient i samband med akut koronarangiografi och primär PCI.
</t>
        </r>
        <r>
          <rPr>
            <b/>
            <sz val="9"/>
            <color rgb="FF1B3A5C"/>
            <rFont val="Arial"/>
            <family val="2"/>
          </rPr>
          <t xml:space="preserve">
Akut koronart syndrom (AKS) · s. 9 · Socialstyrelsens mål: STc7
</t>
        </r>
        <r>
          <rPr>
            <sz val="9"/>
            <color rgb="FF000000"/>
            <rFont val="Arial"/>
            <family val="2"/>
          </rPr>
          <t>• Behandling vid AKS; inkluderande prehospitalt omhändertagande, antitrombotisk och antiischemisk läkemedelsbehandling, indikationer, kontraindikationer och tidsperspektiv för invasiv utredning och val av revaskularisering i akutskede.</t>
        </r>
      </text>
    </comment>
    <comment ref="C42" authorId="0" shapeId="0" xr:uid="{00000000-0006-0000-0400-000017000000}">
      <text>
        <r>
          <rPr>
            <b/>
            <sz val="9"/>
            <color rgb="FF2E7D32"/>
            <rFont val="Arial"/>
            <family val="2"/>
          </rPr>
          <t xml:space="preserve">Ordagrant / nära ordagrant ur SvKF 2022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i/>
            <sz val="8"/>
            <color rgb="FF595959"/>
            <rFont val="Arial"/>
            <family val="2"/>
          </rPr>
          <t xml:space="preserve">Exemplen i parentes är tillagda.
</t>
        </r>
        <r>
          <rPr>
            <b/>
            <sz val="9"/>
            <color rgb="FF1B3A5C"/>
            <rFont val="Arial"/>
            <family val="2"/>
          </rPr>
          <t xml:space="preserve">
Akut omhändertagande av livshotande kardiologiska tillstånd · s. 8 · Socialstyrelsens mål: STc6
</t>
        </r>
        <r>
          <rPr>
            <sz val="9"/>
            <color rgb="FF000000"/>
            <rFont val="Arial"/>
            <family val="2"/>
          </rPr>
          <t xml:space="preserve">• Ischemisk och hemodynamisk monitorering.
</t>
        </r>
        <r>
          <rPr>
            <b/>
            <sz val="9"/>
            <color rgb="FF1B3A5C"/>
            <rFont val="Arial"/>
            <family val="2"/>
          </rPr>
          <t xml:space="preserve">
Rekommendationslista – kompetensnivåer för färdigheter · s. 23
</t>
        </r>
        <r>
          <rPr>
            <sz val="9"/>
            <color rgb="FF000000"/>
            <rFont val="Arial"/>
            <family val="2"/>
          </rPr>
          <t>• Hemodynamisk monitorering med artärnål — nivå Sverige: 4, ESC: N/A</t>
        </r>
      </text>
    </comment>
    <comment ref="C43" authorId="0" shapeId="0" xr:uid="{00000000-0006-0000-0400-000018000000}">
      <text>
        <r>
          <rPr>
            <b/>
            <sz val="9"/>
            <color rgb="FF2E7D32"/>
            <rFont val="Arial"/>
            <family val="2"/>
          </rPr>
          <t xml:space="preserve">Ordagrant / nära ordagrant ur SvKF 2022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i/>
            <sz val="8"/>
            <color rgb="FF595959"/>
            <rFont val="Arial"/>
            <family val="2"/>
          </rPr>
          <t xml:space="preserve">Exemplen i parentes är tillagda.
</t>
        </r>
        <r>
          <rPr>
            <b/>
            <sz val="9"/>
            <color rgb="FF1B3A5C"/>
            <rFont val="Arial"/>
            <family val="2"/>
          </rPr>
          <t xml:space="preserve">
Venös tromboembolism · s. 13 · Socialstyrelsens mål: STc6
</t>
        </r>
        <r>
          <rPr>
            <sz val="9"/>
            <color rgb="FF000000"/>
            <rFont val="Arial"/>
            <family val="2"/>
          </rPr>
          <t>• Epidemiologi, riskfaktorer, patofysiologi, symtomatologi, diagnostik, behandling och prevention av venös tromboembolism, inklusive akut tromboflebit, djup ventrombos, akut lungemboli och kronisk tromboembolisk pulmonell hypertension.</t>
        </r>
      </text>
    </comment>
    <comment ref="C44" authorId="0" shapeId="0" xr:uid="{00000000-0006-0000-0400-000019000000}">
      <text>
        <r>
          <rPr>
            <b/>
            <sz val="9"/>
            <color rgb="FF2E7D32"/>
            <rFont val="Arial"/>
            <family val="2"/>
          </rPr>
          <t xml:space="preserve">Ordagrant / nära ordagrant ur SvKF 2022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Aortasjukdomar · s. 13 · Socialstyrelsens mål: STc6, STc11
</t>
        </r>
        <r>
          <rPr>
            <sz val="9"/>
            <color rgb="FF000000"/>
            <rFont val="Arial"/>
            <family val="2"/>
          </rPr>
          <t>• Klassifikation, epidemiologi, orsaker, patofysiologi, klinisk bild, differentialdiagnoser, diagnostik, behandling, prognos och uppföljning vid thorakal aortasjukdom.</t>
        </r>
      </text>
    </comment>
    <comment ref="C46" authorId="0" shapeId="0" xr:uid="{00000000-0006-0000-0400-00001A000000}">
      <text>
        <r>
          <rPr>
            <b/>
            <sz val="9"/>
            <color rgb="FF2E7D32"/>
            <rFont val="Arial"/>
            <family val="2"/>
          </rPr>
          <t xml:space="preserve">Ordagrant / nära ordagrant ur SvKF 2022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i/>
            <sz val="8"/>
            <color rgb="FF595959"/>
            <rFont val="Arial"/>
            <family val="2"/>
          </rPr>
          <t xml:space="preserve">Exemplen i parentes är tillagda.
</t>
        </r>
        <r>
          <rPr>
            <b/>
            <sz val="9"/>
            <color rgb="FF1B3A5C"/>
            <rFont val="Arial"/>
            <family val="2"/>
          </rPr>
          <t xml:space="preserve">
Akut omhändertagande av livshotande kardiologiska tillstånd · s. 8 · Socialstyrelsens mål: STc6
</t>
        </r>
        <r>
          <rPr>
            <sz val="9"/>
            <color rgb="FF000000"/>
            <rFont val="Arial"/>
            <family val="2"/>
          </rPr>
          <t>• Bedömning av adekvat vårdnivå för patienter.</t>
        </r>
      </text>
    </comment>
    <comment ref="C47" authorId="0" shapeId="0" xr:uid="{00000000-0006-0000-0400-00001B000000}">
      <text>
        <r>
          <rPr>
            <b/>
            <sz val="9"/>
            <color rgb="FF1F4E79"/>
            <rFont val="Arial"/>
            <family val="2"/>
          </rPr>
          <t xml:space="preserve">Bygger på SvKF 2022 – egen formulering/konkretisering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Akut koronart syndrom (AKS) · s. 9 · Socialstyrelsens mål: STc7
</t>
        </r>
        <r>
          <rPr>
            <sz val="9"/>
            <color rgb="FF000000"/>
            <rFont val="Arial"/>
            <family val="2"/>
          </rPr>
          <t xml:space="preserve">• Komplikationer till AKS såsom arytmier, akut hjärtsvikt, hemodynamisk instabilitet, kardiogen chock, och akuta mekaniska komplikationer (klaffinsufficienser, VSD och hjärttamponad).
• Identifiera och initialt handlägga komplikationer vid hjärtkirurgi.
• Handläggning av komplikationer till invasiva ingrepp.
</t>
        </r>
        <r>
          <rPr>
            <b/>
            <sz val="9"/>
            <color rgb="FF1B3A5C"/>
            <rFont val="Arial"/>
            <family val="2"/>
          </rPr>
          <t xml:space="preserve">
Kardiologisk rehabilitering · s. 18 · Socialstyrelsens mål: STc12, STc13
</t>
        </r>
        <r>
          <rPr>
            <sz val="9"/>
            <color rgb="FF000000"/>
            <rFont val="Arial"/>
            <family val="2"/>
          </rPr>
          <t>• Komplikationer efter genomgången hjärt-/thoraxkirurgi.</t>
        </r>
      </text>
    </comment>
    <comment ref="C48" authorId="0" shapeId="0" xr:uid="{00000000-0006-0000-0400-00001C000000}">
      <text>
        <r>
          <rPr>
            <b/>
            <sz val="9"/>
            <color rgb="FF1F4E79"/>
            <rFont val="Arial"/>
            <family val="2"/>
          </rPr>
          <t xml:space="preserve">Bygger på SvKF 2022 – egen formulering/konkretisering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i/>
            <sz val="8"/>
            <color rgb="FF595959"/>
            <rFont val="Arial"/>
            <family val="2"/>
          </rPr>
          <t xml:space="preserve">SvKF:s kardiologiska delmål anger samsjuklighet per sjukdomsgrupp; det generella kravet finns i den gemensamma kunskapsbasen (s. 3).
</t>
        </r>
        <r>
          <rPr>
            <b/>
            <sz val="9"/>
            <color rgb="FF1B3A5C"/>
            <rFont val="Arial"/>
            <family val="2"/>
          </rPr>
          <t xml:space="preserve">
Akut koronart syndrom (AKS) · s. 9 · Socialstyrelsens mål: STc7
</t>
        </r>
        <r>
          <rPr>
            <sz val="9"/>
            <color rgb="FF000000"/>
            <rFont val="Arial"/>
            <family val="2"/>
          </rPr>
          <t xml:space="preserve">• Samsjuklighet vid AKS.
</t>
        </r>
        <r>
          <rPr>
            <b/>
            <sz val="9"/>
            <color rgb="FF1B3A5C"/>
            <rFont val="Arial"/>
            <family val="2"/>
          </rPr>
          <t xml:space="preserve">
Hjärtsvikt, kardiomyopatier och pulmonell hypertension · s. 10 · Socialstyrelsens mål: STc8
</t>
        </r>
        <r>
          <rPr>
            <sz val="9"/>
            <color rgb="FF000000"/>
            <rFont val="Arial"/>
            <family val="2"/>
          </rPr>
          <t xml:space="preserve">• Samsjuklighet vid hjärtsvikt.
</t>
        </r>
        <r>
          <rPr>
            <b/>
            <sz val="9"/>
            <color rgb="FF1B3A5C"/>
            <rFont val="Arial"/>
            <family val="2"/>
          </rPr>
          <t xml:space="preserve">
Definition av kompetensområdet · s. 3
</t>
        </r>
        <r>
          <rPr>
            <sz val="9"/>
            <color rgb="FF000000"/>
            <rFont val="Arial"/>
            <family val="2"/>
          </rPr>
          <t>• För specialistkompetens i kardiologi krävs att kunskaper och färdigheter uppnås enligt den gemensamma kunskapsbasen (“Common trunk”) för de internmedicinska basspecialiteterna. I denna gemensamma kunskapsbas ingår att:
    – Självständigt kunna bedöma och handlägga symtom och undersökningsfynd som talar för akut sjukdom eller sjukdomstillstånd inom internmedicin och angränsande basspecialiteter, även hos äldre patienter med multisjuklighet.</t>
        </r>
      </text>
    </comment>
    <comment ref="C49" authorId="0" shapeId="0" xr:uid="{00000000-0006-0000-0400-00001D000000}">
      <text>
        <r>
          <rPr>
            <b/>
            <sz val="9"/>
            <color rgb="FF1F4E79"/>
            <rFont val="Arial"/>
            <family val="2"/>
          </rPr>
          <t xml:space="preserve">Bygger på SvKF 2022 – egen formulering/konkretisering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Akut omhändertagande av livshotande kardiologiska tillstånd · s. 8 · Socialstyrelsens mål: STc6
</t>
        </r>
        <r>
          <rPr>
            <sz val="9"/>
            <color rgb="FF000000"/>
            <rFont val="Arial"/>
            <family val="2"/>
          </rPr>
          <t xml:space="preserve">• Ställningstagande till och genomförande av behandlingsbegränsningar, inklusive etiska och legala aspekter.
• Indikation för och olika typer av mekaniskt cirkulationsstöd.
</t>
        </r>
        <r>
          <rPr>
            <b/>
            <sz val="9"/>
            <color rgb="FF1B3A5C"/>
            <rFont val="Arial"/>
            <family val="2"/>
          </rPr>
          <t xml:space="preserve">
Hjärtsvikt, kardiomyopatier och pulmonell hypertension · s. 10 · Socialstyrelsens mål: STc8
</t>
        </r>
        <r>
          <rPr>
            <sz val="9"/>
            <color rgb="FF000000"/>
            <rFont val="Arial"/>
            <family val="2"/>
          </rPr>
          <t>• Indikationer och initial utredning inför hjärttransplantation.</t>
        </r>
      </text>
    </comment>
    <comment ref="C51" authorId="0" shapeId="0" xr:uid="{00000000-0006-0000-0400-00001E000000}">
      <text>
        <r>
          <rPr>
            <b/>
            <sz val="9"/>
            <color rgb="FF2E7D32"/>
            <rFont val="Arial"/>
            <family val="2"/>
          </rPr>
          <t xml:space="preserve">Ordagrant / nära ordagrant ur SvKF 2022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Akut omhändertagande av livshotande kardiologiska tillstånd · s. 8 · Socialstyrelsens mål: STc6
</t>
        </r>
        <r>
          <rPr>
            <sz val="9"/>
            <color rgb="FF000000"/>
            <rFont val="Arial"/>
            <family val="2"/>
          </rPr>
          <t>• Omhändertagande vid cirkulationsstillestånd och initiering respektive avbrytande av behandling.
• Fortsatt handläggning på intensivvårdsavdelning efter cirkulationsstillestånd, inklusive prognostisering och neurologisk bedömning.</t>
        </r>
      </text>
    </comment>
    <comment ref="C52" authorId="0" shapeId="0" xr:uid="{00000000-0006-0000-0400-00001F000000}">
      <text>
        <r>
          <rPr>
            <b/>
            <sz val="9"/>
            <color rgb="FF1F4E79"/>
            <rFont val="Arial"/>
            <family val="2"/>
          </rPr>
          <t xml:space="preserve">Bygger på SvKF 2022 – egen formulering/konkretisering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i/>
            <sz val="8"/>
            <color rgb="FF595959"/>
            <rFont val="Arial"/>
            <family val="2"/>
          </rPr>
          <t xml:space="preserve">Läkemedelsexemplen är tillagda.
</t>
        </r>
        <r>
          <rPr>
            <b/>
            <sz val="9"/>
            <color rgb="FF1B3A5C"/>
            <rFont val="Arial"/>
            <family val="2"/>
          </rPr>
          <t xml:space="preserve">
Arytmier och synkope › Takykardier · s. 11 · Socialstyrelsens mål: STc6, STc9
</t>
        </r>
        <r>
          <rPr>
            <sz val="9"/>
            <color rgb="FF000000"/>
            <rFont val="Arial"/>
            <family val="2"/>
          </rPr>
          <t xml:space="preserve">• Antiarytmisk läkemedelsbehandling (inklusive proarytmier) av supraventrikulära och ventrikulära takykardier.
</t>
        </r>
        <r>
          <rPr>
            <b/>
            <sz val="9"/>
            <color rgb="FF1B3A5C"/>
            <rFont val="Arial"/>
            <family val="2"/>
          </rPr>
          <t xml:space="preserve">
Klinisk farmakologi · s. 19 · Socialstyrelsens mål: ingår i de flesta c-målen
</t>
        </r>
        <r>
          <rPr>
            <sz val="9"/>
            <color rgb="FF000000"/>
            <rFont val="Arial"/>
            <family val="2"/>
          </rPr>
          <t xml:space="preserve">• Indikationer/kontraindikationer, farmakokinetik, verkningsmekanismer, vanliga och/eller allvarliga interaktioner, biverkningar och toxiska effekter för kardiovaskulära läkemedel, med fokus på följande grupper:
    – Antiarytmika.
</t>
        </r>
        <r>
          <rPr>
            <b/>
            <sz val="9"/>
            <color rgb="FF1B3A5C"/>
            <rFont val="Arial"/>
            <family val="2"/>
          </rPr>
          <t xml:space="preserve">
Arytmier och synkope · s. 11 · Socialstyrelsens mål: STc6, STc9
</t>
        </r>
        <r>
          <rPr>
            <sz val="9"/>
            <color rgb="FF000000"/>
            <rFont val="Arial"/>
            <family val="2"/>
          </rPr>
          <t>• Klassifikation, epidemiologi, orsaker, patofysiologi, klinisk bild, differentialdiagnoser, diagnostik, behandling och prognos vid supraventrikulära och ventrikulära takyarytmier, bradykardier samt synkope.</t>
        </r>
      </text>
    </comment>
    <comment ref="C53" authorId="0" shapeId="0" xr:uid="{00000000-0006-0000-0400-000020000000}">
      <text>
        <r>
          <rPr>
            <b/>
            <sz val="9"/>
            <color rgb="FF1F4E79"/>
            <rFont val="Arial"/>
            <family val="2"/>
          </rPr>
          <t xml:space="preserve">Bygger på SvKF 2022 – egen formulering/konkretisering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Akut koronart syndrom (AKS) · s. 9 · Socialstyrelsens mål: STc7
</t>
        </r>
        <r>
          <rPr>
            <sz val="9"/>
            <color rgb="FF000000"/>
            <rFont val="Arial"/>
            <family val="2"/>
          </rPr>
          <t>• Behandling vid AKS; inkluderande prehospitalt omhändertagande, antitrombotisk och antiischemisk läkemedelsbehandling, indikationer, kontraindikationer och tidsperspektiv för invasiv utredning och val av revaskularisering i akutskede.</t>
        </r>
      </text>
    </comment>
    <comment ref="C54" authorId="0" shapeId="0" xr:uid="{00000000-0006-0000-0400-000021000000}">
      <text>
        <r>
          <rPr>
            <b/>
            <sz val="9"/>
            <color rgb="FF1F4E79"/>
            <rFont val="Arial"/>
            <family val="2"/>
          </rPr>
          <t xml:space="preserve">Bygger på SvKF 2022 – egen formulering/konkretisering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i/>
            <sz val="8"/>
            <color rgb="FF595959"/>
            <rFont val="Arial"/>
            <family val="2"/>
          </rPr>
          <t xml:space="preserve">Läkemedelsexemplen är tillagda.
</t>
        </r>
        <r>
          <rPr>
            <b/>
            <sz val="9"/>
            <color rgb="FF1B3A5C"/>
            <rFont val="Arial"/>
            <family val="2"/>
          </rPr>
          <t xml:space="preserve">
Hjärtsvikt, kardiomyopatier och pulmonell hypertension · s. 10 · Socialstyrelsens mål: STc8
</t>
        </r>
        <r>
          <rPr>
            <sz val="9"/>
            <color rgb="FF000000"/>
            <rFont val="Arial"/>
            <family val="2"/>
          </rPr>
          <t xml:space="preserve">• Handläggning av akut hjärtsvikt och lungödem inklusive noninvasiv ventilation.
• Läkemedelsbehandling vid akut och kronisk hjärtsvikt.
</t>
        </r>
        <r>
          <rPr>
            <b/>
            <sz val="9"/>
            <color rgb="FF1B3A5C"/>
            <rFont val="Arial"/>
            <family val="2"/>
          </rPr>
          <t xml:space="preserve">
Akut omhändertagande av livshotande kardiologiska tillstånd · s. 8 · Socialstyrelsens mål: STc6
</t>
        </r>
        <r>
          <rPr>
            <sz val="9"/>
            <color rgb="FF000000"/>
            <rFont val="Arial"/>
            <family val="2"/>
          </rPr>
          <t>• Läkemedelsbehandling vid hemodynamisk instabilitet.</t>
        </r>
      </text>
    </comment>
    <comment ref="C55" authorId="0" shapeId="0" xr:uid="{00000000-0006-0000-0400-000022000000}">
      <text>
        <r>
          <rPr>
            <b/>
            <sz val="9"/>
            <color rgb="FF1F4E79"/>
            <rFont val="Arial"/>
            <family val="2"/>
          </rPr>
          <t xml:space="preserve">Bygger på SvKF 2022 – egen formulering/konkretisering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Venös tromboembolism · s. 13 · Socialstyrelsens mål: STc6
</t>
        </r>
        <r>
          <rPr>
            <sz val="9"/>
            <color rgb="FF000000"/>
            <rFont val="Arial"/>
            <family val="2"/>
          </rPr>
          <t>• Epidemiologi, riskfaktorer, patofysiologi, symtomatologi, diagnostik, behandling och prevention av venös tromboembolism, inklusive akut tromboflebit, djup ventrombos, akut lungemboli och kronisk tromboembolisk pulmonell hypertension.</t>
        </r>
      </text>
    </comment>
    <comment ref="C56" authorId="0" shapeId="0" xr:uid="{00000000-0006-0000-0400-000023000000}">
      <text>
        <r>
          <rPr>
            <b/>
            <sz val="9"/>
            <color rgb="FF1F4E79"/>
            <rFont val="Arial"/>
            <family val="2"/>
          </rPr>
          <t xml:space="preserve">Bygger på SvKF 2022 – egen formulering/konkretisering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Aortasjukdomar · s. 13 · Socialstyrelsens mål: STc6, STc11
</t>
        </r>
        <r>
          <rPr>
            <sz val="9"/>
            <color rgb="FF000000"/>
            <rFont val="Arial"/>
            <family val="2"/>
          </rPr>
          <t>• Medicinsk handläggning och kunskap om kirurgisk behandling vid thorakala aortasjukdomar.
• Akut omhändertagande av patient med akut aortasyndrom.</t>
        </r>
      </text>
    </comment>
    <comment ref="C57" authorId="0" shapeId="0" xr:uid="{00000000-0006-0000-0400-000024000000}">
      <text>
        <r>
          <rPr>
            <b/>
            <sz val="9"/>
            <color rgb="FF1F4E79"/>
            <rFont val="Arial"/>
            <family val="2"/>
          </rPr>
          <t xml:space="preserve">Bygger på SvKF 2022 – egen formulering/konkretisering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Akut koronart syndrom (AKS) · s. 9 · Socialstyrelsens mål: STc7
</t>
        </r>
        <r>
          <rPr>
            <sz val="9"/>
            <color rgb="FF000000"/>
            <rFont val="Arial"/>
            <family val="2"/>
          </rPr>
          <t xml:space="preserve">• Komplikationer till AKS såsom arytmier, akut hjärtsvikt, hemodynamisk instabilitet, kardiogen chock, och akuta mekaniska komplikationer (klaffinsufficienser, VSD och hjärttamponad).
</t>
        </r>
        <r>
          <rPr>
            <b/>
            <sz val="9"/>
            <color rgb="FF1B3A5C"/>
            <rFont val="Arial"/>
            <family val="2"/>
          </rPr>
          <t xml:space="preserve">
Aortasjukdomar · s. 13 · Socialstyrelsens mål: STc6, STc11
</t>
        </r>
        <r>
          <rPr>
            <sz val="9"/>
            <color rgb="FF000000"/>
            <rFont val="Arial"/>
            <family val="2"/>
          </rPr>
          <t xml:space="preserve">• Medicinsk handläggning och kunskap om kirurgisk behandling vid thorakala aortasjukdomar.
</t>
        </r>
        <r>
          <rPr>
            <b/>
            <sz val="9"/>
            <color rgb="FF1B3A5C"/>
            <rFont val="Arial"/>
            <family val="2"/>
          </rPr>
          <t xml:space="preserve">
Infektiös endokardit · s. 14 · Socialstyrelsens mål: STc10
</t>
        </r>
        <r>
          <rPr>
            <sz val="9"/>
            <color rgb="FF000000"/>
            <rFont val="Arial"/>
            <family val="2"/>
          </rPr>
          <t xml:space="preserve">• Antibiotikaterapi samt indikationer, tidsperspektiv och risker med invasiv behandling (kirurgi, device-extraktion).
</t>
        </r>
        <r>
          <rPr>
            <b/>
            <sz val="9"/>
            <color rgb="FF1B3A5C"/>
            <rFont val="Arial"/>
            <family val="2"/>
          </rPr>
          <t xml:space="preserve">
Hjärtklaffsjukdomar · s. 11 · Socialstyrelsens mål: STc8
</t>
        </r>
        <r>
          <rPr>
            <sz val="9"/>
            <color rgb="FF000000"/>
            <rFont val="Arial"/>
            <family val="2"/>
          </rPr>
          <t>• Indikationer för och risk/nytta med medicinsk, kirurgisk och perkutan behandling vid hjärtklaffsjukdom samt lämplig tidpunkt för intervention.</t>
        </r>
      </text>
    </comment>
    <comment ref="C58" authorId="0" shapeId="0" xr:uid="{00000000-0006-0000-0400-000025000000}">
      <text>
        <r>
          <rPr>
            <b/>
            <sz val="9"/>
            <color rgb="FF2E7D32"/>
            <rFont val="Arial"/>
            <family val="2"/>
          </rPr>
          <t xml:space="preserve">Ordagrant / nära ordagrant ur SvKF 2022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Akut omhändertagande av livshotande kardiologiska tillstånd · s. 8 · Socialstyrelsens mål: STc6
</t>
        </r>
        <r>
          <rPr>
            <sz val="9"/>
            <color rgb="FF000000"/>
            <rFont val="Arial"/>
            <family val="2"/>
          </rPr>
          <t>• Indikation för kontinuerlig njurersättningsterapi (CRRT) och dialys.</t>
        </r>
      </text>
    </comment>
    <comment ref="C59" authorId="0" shapeId="0" xr:uid="{00000000-0006-0000-0400-000026000000}">
      <text>
        <r>
          <rPr>
            <b/>
            <sz val="9"/>
            <color rgb="FFC55A11"/>
            <rFont val="Arial"/>
            <family val="2"/>
          </rPr>
          <t xml:space="preserve">Egen formulering – finns inte som eget delmål i SvKF 2022
</t>
        </r>
        <r>
          <rPr>
            <sz val="8"/>
            <color rgb="FF595959"/>
            <rFont val="Arial"/>
            <family val="2"/>
          </rPr>
          <t xml:space="preserve">Närliggande text i Svenska Kardiologföreningens Kompetensbeskrivning 2022 (uppdaterad 24 oktober 2024)
</t>
        </r>
        <r>
          <rPr>
            <i/>
            <sz val="8"/>
            <color rgb="FF595959"/>
            <rFont val="Arial"/>
            <family val="2"/>
          </rPr>
          <t xml:space="preserve">Reversering och transfusionsstrategi finns inte som eget delmål i SvKF 2022.
</t>
        </r>
        <r>
          <rPr>
            <b/>
            <sz val="9"/>
            <color rgb="FF1B3A5C"/>
            <rFont val="Arial"/>
            <family val="2"/>
          </rPr>
          <t xml:space="preserve">
Klinisk farmakologi · s. 19 · Socialstyrelsens mål: ingår i de flesta c-målen
</t>
        </r>
        <r>
          <rPr>
            <sz val="9"/>
            <color rgb="FF000000"/>
            <rFont val="Arial"/>
            <family val="2"/>
          </rPr>
          <t>• Indikationer/kontraindikationer, farmakokinetik, verkningsmekanismer, vanliga och/eller allvarliga interaktioner, biverkningar och toxiska effekter för kardiovaskulära läkemedel, med fokus på följande grupper:
    – Antikoagulantia.</t>
        </r>
      </text>
    </comment>
    <comment ref="C60" authorId="0" shapeId="0" xr:uid="{00000000-0006-0000-0400-000027000000}">
      <text>
        <r>
          <rPr>
            <b/>
            <sz val="9"/>
            <color rgb="FF1F4E79"/>
            <rFont val="Arial"/>
            <family val="2"/>
          </rPr>
          <t xml:space="preserve">Bygger på SvKF 2022 – egen formulering/konkretisering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i/>
            <sz val="8"/>
            <color rgb="FF595959"/>
            <rFont val="Arial"/>
            <family val="2"/>
          </rPr>
          <t xml:space="preserve">Elektrisk storm nämns inte med namn i SvKF 2022.
</t>
        </r>
        <r>
          <rPr>
            <b/>
            <sz val="9"/>
            <color rgb="FF1B3A5C"/>
            <rFont val="Arial"/>
            <family val="2"/>
          </rPr>
          <t xml:space="preserve">
Arytmier och synkope › Takykardier · s. 11–12 · Socialstyrelsens mål: STc6, STc9
</t>
        </r>
        <r>
          <rPr>
            <sz val="9"/>
            <color rgb="FF000000"/>
            <rFont val="Arial"/>
            <family val="2"/>
          </rPr>
          <t xml:space="preserve">• Antiarytmisk läkemedelsbehandling (inklusive proarytmier) av supraventrikulära och ventrikulära takykardier.
• Indikationer, kontraindikationer, komplikationer och prognos för invasiva behandlingsmetoder såsom kateterablation och kirurgi vid ventrikulära extraslag och ventrikulär takykardi.
</t>
        </r>
        <r>
          <rPr>
            <b/>
            <sz val="9"/>
            <color rgb="FF1B3A5C"/>
            <rFont val="Arial"/>
            <family val="2"/>
          </rPr>
          <t xml:space="preserve">
Akut omhändertagande av livshotande kardiologiska tillstånd · s. 8 · Socialstyrelsens mål: STc6
</t>
        </r>
        <r>
          <rPr>
            <sz val="9"/>
            <color rgb="FF000000"/>
            <rFont val="Arial"/>
            <family val="2"/>
          </rPr>
          <t>• Indikation för och olika typer av mekaniskt cirkulationsstöd.</t>
        </r>
      </text>
    </comment>
    <comment ref="C61" authorId="0" shapeId="0" xr:uid="{00000000-0006-0000-0400-000028000000}">
      <text>
        <r>
          <rPr>
            <b/>
            <sz val="9"/>
            <color rgb="FF1F4E79"/>
            <rFont val="Arial"/>
            <family val="2"/>
          </rPr>
          <t xml:space="preserve">Bygger på SvKF 2022 – egen formulering/konkretisering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i/>
            <sz val="8"/>
            <color rgb="FF595959"/>
            <rFont val="Arial"/>
            <family val="2"/>
          </rPr>
          <t xml:space="preserve">Kontraindikationer, komplikationer och exemplen är tillagda.
</t>
        </r>
        <r>
          <rPr>
            <b/>
            <sz val="9"/>
            <color rgb="FF1B3A5C"/>
            <rFont val="Arial"/>
            <family val="2"/>
          </rPr>
          <t xml:space="preserve">
Akut omhändertagande av livshotande kardiologiska tillstånd · s. 8 · Socialstyrelsens mål: STc6
</t>
        </r>
        <r>
          <rPr>
            <sz val="9"/>
            <color rgb="FF000000"/>
            <rFont val="Arial"/>
            <family val="2"/>
          </rPr>
          <t>• Indikation för och olika typer av mekaniskt cirkulationsstöd.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Rozh Kader</author>
  </authors>
  <commentList>
    <comment ref="C24" authorId="0" shapeId="0" xr:uid="{00000000-0006-0000-0500-000001000000}">
      <text>
        <r>
          <rPr>
            <b/>
            <sz val="9"/>
            <color rgb="FF2E7D32"/>
            <rFont val="Arial"/>
            <family val="2"/>
          </rPr>
          <t xml:space="preserve">Ordagrant / nära ordagrant ur SvKF 2022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</t>
        </r>
        <r>
          <rPr>
            <b/>
            <sz val="9"/>
            <color rgb="FF1B3A5C"/>
            <rFont val="Arial"/>
            <family val="2"/>
          </rPr>
          <t xml:space="preserve">Invasiv bild- och funktionsdiagnostik · s. 20–21 · Socialstyrelsens mål: STc7, STc8
</t>
        </r>
        <r>
          <rPr>
            <sz val="9"/>
            <color rgb="FF000000"/>
            <rFont val="Arial"/>
            <family val="2"/>
          </rPr>
          <t xml:space="preserve">• Tolka data från högerkammarkateterisering och koronarangiografi.
</t>
        </r>
        <r>
          <rPr>
            <sz val="9"/>
            <color rgb="FF000000"/>
            <rFont val="Arial"/>
            <family val="2"/>
          </rPr>
          <t xml:space="preserve">• Delaktighet vid genomförandet av, och assisterande vid koronarangiografi samt högerkammarkateterisering.
</t>
        </r>
        <r>
          <rPr>
            <b/>
            <sz val="9"/>
            <color rgb="FF1B3A5C"/>
            <rFont val="Arial"/>
            <family val="2"/>
          </rPr>
          <t xml:space="preserve">
</t>
        </r>
        <r>
          <rPr>
            <b/>
            <sz val="9"/>
            <color rgb="FF1B3A5C"/>
            <rFont val="Arial"/>
            <family val="2"/>
          </rPr>
          <t xml:space="preserve">Rekommendationslista – kompetensnivåer för färdigheter · s. 23
</t>
        </r>
        <r>
          <rPr>
            <sz val="9"/>
            <color rgb="FF000000"/>
            <rFont val="Arial"/>
            <family val="2"/>
          </rPr>
          <t xml:space="preserve">• Högerkammarkateterisering, delaktighet vid genomförande — nivå Sverige: 2, ESC: 2
</t>
        </r>
        <r>
          <rPr>
            <sz val="9"/>
            <color rgb="FF000000"/>
            <rFont val="Arial"/>
            <family val="2"/>
          </rPr>
          <t xml:space="preserve">• Högerkammarkateterisering, tolkning — nivå Sverige: 4, ESC: 4
</t>
        </r>
        <r>
          <rPr>
            <b/>
            <sz val="9"/>
            <color rgb="FF1B3A5C"/>
            <rFont val="Arial"/>
            <family val="2"/>
          </rPr>
          <t xml:space="preserve">
</t>
        </r>
        <r>
          <rPr>
            <b/>
            <sz val="9"/>
            <color rgb="FF1B3A5C"/>
            <rFont val="Arial"/>
            <family val="2"/>
          </rPr>
          <t xml:space="preserve">Plan för genomförande av specialistutbildningen · s. 5
</t>
        </r>
        <r>
          <rPr>
            <sz val="9"/>
            <color rgb="FF000000"/>
            <rFont val="Arial"/>
            <family val="2"/>
          </rPr>
          <t xml:space="preserve">• För att uppfylla målen rekommenderar Svenska Kardiologföreningen att man tjänstgör vid enhet vars verksamhet innefattar:
</t>
        </r>
        <r>
          <rPr>
            <sz val="9"/>
            <color rgb="FF000000"/>
            <rFont val="Arial"/>
            <family val="2"/>
          </rPr>
          <t xml:space="preserve">    – Hjärtsviktsvård ≥ 6 månader. Denna tjänstgöring bör inkludera minst:
</t>
        </r>
        <r>
          <rPr>
            <sz val="9"/>
            <color rgb="FF000000"/>
            <rFont val="Arial"/>
            <family val="2"/>
          </rPr>
          <t xml:space="preserve">        – Enhet med avancerad hjärtsviktsvård (inkl hjärtkateterisering, LVAD, transplantationsvård, PAH) ≥ 1 månad.</t>
        </r>
      </text>
    </comment>
    <comment ref="C25" authorId="0" shapeId="0" xr:uid="{00000000-0006-0000-0500-000002000000}">
      <text>
        <r>
          <rPr>
            <b/>
            <sz val="9"/>
            <color rgb="FF2E7D32"/>
            <rFont val="Arial"/>
            <family val="2"/>
          </rPr>
          <t xml:space="preserve">Ordagrant / nära ordagrant ur SvKF 2022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</t>
        </r>
        <r>
          <rPr>
            <b/>
            <sz val="9"/>
            <color rgb="FF1B3A5C"/>
            <rFont val="Arial"/>
            <family val="2"/>
          </rPr>
          <t xml:space="preserve">Noninvasiv bild- och funktionsdiagnostik › Utföra och tolka · s. 20 · Socialstyrelsens mål: STc7
</t>
        </r>
        <r>
          <rPr>
            <sz val="9"/>
            <color rgb="FF000000"/>
            <rFont val="Arial"/>
            <family val="2"/>
          </rPr>
          <t xml:space="preserve">• Transthorakal ekokardiografi (TTE).
</t>
        </r>
        <r>
          <rPr>
            <b/>
            <sz val="9"/>
            <color rgb="FF1B3A5C"/>
            <rFont val="Arial"/>
            <family val="2"/>
          </rPr>
          <t xml:space="preserve">
</t>
        </r>
        <r>
          <rPr>
            <b/>
            <sz val="9"/>
            <color rgb="FF1B3A5C"/>
            <rFont val="Arial"/>
            <family val="2"/>
          </rPr>
          <t xml:space="preserve">Rekommendationslista – kompetensnivåer för färdigheter · s. 23
</t>
        </r>
        <r>
          <rPr>
            <sz val="9"/>
            <color rgb="FF000000"/>
            <rFont val="Arial"/>
            <family val="2"/>
          </rPr>
          <t xml:space="preserve">• Transthorakal basal ekokardiografi med doppler (TTE) — nivå Sverige: 5, ESC: 5
</t>
        </r>
        <r>
          <rPr>
            <b/>
            <sz val="9"/>
            <color rgb="FF1B3A5C"/>
            <rFont val="Arial"/>
            <family val="2"/>
          </rPr>
          <t xml:space="preserve">
</t>
        </r>
        <r>
          <rPr>
            <b/>
            <sz val="9"/>
            <color rgb="FF1B3A5C"/>
            <rFont val="Arial"/>
            <family val="2"/>
          </rPr>
          <t xml:space="preserve">Hjärtsvikt, kardiomyopatier och pulmonell hypertension · s. 10 · Socialstyrelsens mål: STc8
</t>
        </r>
        <r>
          <rPr>
            <sz val="9"/>
            <color rgb="FF000000"/>
            <rFont val="Arial"/>
            <family val="2"/>
          </rPr>
          <t>• Tillämpa och värdera resultatet av noninvasiva och invasiva diagnostiska metoder.</t>
        </r>
      </text>
    </comment>
    <comment ref="C26" authorId="0" shapeId="0" xr:uid="{00000000-0006-0000-0500-000003000000}">
      <text>
        <r>
          <rPr>
            <b/>
            <sz val="9"/>
            <color rgb="FF2E7D32"/>
            <rFont val="Arial"/>
            <family val="2"/>
          </rPr>
          <t xml:space="preserve">Ordagrant / nära ordagrant ur SvKF 2022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</t>
        </r>
        <r>
          <rPr>
            <b/>
            <sz val="9"/>
            <color rgb="FF1B3A5C"/>
            <rFont val="Arial"/>
            <family val="2"/>
          </rPr>
          <t xml:space="preserve">Hjärtsvikt, kardiomyopatier och pulmonell hypertension · s. 10 · Socialstyrelsens mål: STc8
</t>
        </r>
        <r>
          <rPr>
            <sz val="9"/>
            <color rgb="FF000000"/>
            <rFont val="Arial"/>
            <family val="2"/>
          </rPr>
          <t xml:space="preserve">• Handläggning av akut hjärtsvikt och lungödem inklusive noninvasiv ventilation.
</t>
        </r>
        <r>
          <rPr>
            <b/>
            <sz val="9"/>
            <color rgb="FF1B3A5C"/>
            <rFont val="Arial"/>
            <family val="2"/>
          </rPr>
          <t xml:space="preserve">
</t>
        </r>
        <r>
          <rPr>
            <b/>
            <sz val="9"/>
            <color rgb="FF1B3A5C"/>
            <rFont val="Arial"/>
            <family val="2"/>
          </rPr>
          <t xml:space="preserve">Rekommendationslista – kompetensnivåer för färdigheter · s. 23
</t>
        </r>
        <r>
          <rPr>
            <sz val="9"/>
            <color rgb="FF000000"/>
            <rFont val="Arial"/>
            <family val="2"/>
          </rPr>
          <t>• Non-invasiv ventilatorbehandling med CPAP — nivå Sverige: 5, ESC: N/A</t>
        </r>
      </text>
    </comment>
    <comment ref="C32" authorId="0" shapeId="0" xr:uid="{00000000-0006-0000-0500-000004000000}">
      <text>
        <r>
          <rPr>
            <b/>
            <sz val="9"/>
            <color rgb="FF2E7D32"/>
            <rFont val="Arial"/>
            <family val="2"/>
          </rPr>
          <t xml:space="preserve">Ordagrant / nära ordagrant ur SvKF 2022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Hjärtsvikt, kardiomyopatier och pulmonell hypertension · s. 10 · Socialstyrelsens mål: STc8
</t>
        </r>
        <r>
          <rPr>
            <sz val="9"/>
            <color rgb="FF000000"/>
            <rFont val="Arial"/>
            <family val="2"/>
          </rPr>
          <t>• Definition, klassifikation, epidemiologi, riskfaktorer, etiologier, patofysiologi och prognos vid akut hjärtsvikt och kronisk hjärtsvikt i relation till grad av kammardysfunktion.</t>
        </r>
      </text>
    </comment>
    <comment ref="C33" authorId="0" shapeId="0" xr:uid="{00000000-0006-0000-0500-000005000000}">
      <text>
        <r>
          <rPr>
            <b/>
            <sz val="9"/>
            <color rgb="FF2E7D32"/>
            <rFont val="Arial"/>
            <family val="2"/>
          </rPr>
          <t xml:space="preserve">Ordagrant / nära ordagrant ur SvKF 2022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i/>
            <sz val="8"/>
            <color rgb="FF595959"/>
            <rFont val="Arial"/>
            <family val="2"/>
          </rPr>
          <t xml:space="preserve">Uppdelat per klaff.
</t>
        </r>
        <r>
          <rPr>
            <b/>
            <sz val="9"/>
            <color rgb="FF1B3A5C"/>
            <rFont val="Arial"/>
            <family val="2"/>
          </rPr>
          <t xml:space="preserve">
Hjärtklaffsjukdomar · s. 11 · Socialstyrelsens mål: STc8
</t>
        </r>
        <r>
          <rPr>
            <sz val="9"/>
            <color rgb="FF000000"/>
            <rFont val="Arial"/>
            <family val="2"/>
          </rPr>
          <t>• Klassifikation, epidemiologi, orsaker, patofysiologi, symtom, differentialdiagnoser, komplikationer och prognos vid hjärtklaffsjukdom.</t>
        </r>
      </text>
    </comment>
    <comment ref="C34" authorId="0" shapeId="0" xr:uid="{00000000-0006-0000-0500-000006000000}">
      <text>
        <r>
          <rPr>
            <b/>
            <sz val="9"/>
            <color rgb="FF2E7D32"/>
            <rFont val="Arial"/>
            <family val="2"/>
          </rPr>
          <t xml:space="preserve">Ordagrant / nära ordagrant ur SvKF 2022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i/>
            <sz val="8"/>
            <color rgb="FF595959"/>
            <rFont val="Arial"/>
            <family val="2"/>
          </rPr>
          <t xml:space="preserve">Uppdelat per klaff.
</t>
        </r>
        <r>
          <rPr>
            <b/>
            <sz val="9"/>
            <color rgb="FF1B3A5C"/>
            <rFont val="Arial"/>
            <family val="2"/>
          </rPr>
          <t xml:space="preserve">
Hjärtklaffsjukdomar · s. 11 · Socialstyrelsens mål: STc8
</t>
        </r>
        <r>
          <rPr>
            <sz val="9"/>
            <color rgb="FF000000"/>
            <rFont val="Arial"/>
            <family val="2"/>
          </rPr>
          <t>• Klassifikation, epidemiologi, orsaker, patofysiologi, symtom, differentialdiagnoser, komplikationer och prognos vid hjärtklaffsjukdom.</t>
        </r>
      </text>
    </comment>
    <comment ref="C35" authorId="0" shapeId="0" xr:uid="{00000000-0006-0000-0500-000007000000}">
      <text>
        <r>
          <rPr>
            <b/>
            <sz val="9"/>
            <color rgb="FF2E7D32"/>
            <rFont val="Arial"/>
            <family val="2"/>
          </rPr>
          <t xml:space="preserve">Ordagrant / nära ordagrant ur SvKF 2022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i/>
            <sz val="8"/>
            <color rgb="FF595959"/>
            <rFont val="Arial"/>
            <family val="2"/>
          </rPr>
          <t xml:space="preserve">Uppdelat per klaff.
</t>
        </r>
        <r>
          <rPr>
            <b/>
            <sz val="9"/>
            <color rgb="FF1B3A5C"/>
            <rFont val="Arial"/>
            <family val="2"/>
          </rPr>
          <t xml:space="preserve">
Hjärtklaffsjukdomar · s. 11 · Socialstyrelsens mål: STc8
</t>
        </r>
        <r>
          <rPr>
            <sz val="9"/>
            <color rgb="FF000000"/>
            <rFont val="Arial"/>
            <family val="2"/>
          </rPr>
          <t>• Klassifikation, epidemiologi, orsaker, patofysiologi, symtom, differentialdiagnoser, komplikationer och prognos vid hjärtklaffsjukdom.</t>
        </r>
      </text>
    </comment>
    <comment ref="C36" authorId="0" shapeId="0" xr:uid="{00000000-0006-0000-0500-000008000000}">
      <text>
        <r>
          <rPr>
            <b/>
            <sz val="9"/>
            <color rgb="FF1F4E79"/>
            <rFont val="Arial"/>
            <family val="2"/>
          </rPr>
          <t xml:space="preserve">Bygger på SvKF 2022 – egen formulering/konkretisering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i/>
            <sz val="8"/>
            <color rgb="FF595959"/>
            <rFont val="Arial"/>
            <family val="2"/>
          </rPr>
          <t xml:space="preserve">Läkemedelsexemplen är tillagda.
</t>
        </r>
        <r>
          <rPr>
            <b/>
            <sz val="9"/>
            <color rgb="FF1B3A5C"/>
            <rFont val="Arial"/>
            <family val="2"/>
          </rPr>
          <t xml:space="preserve">
Klinisk farmakologi · s. 19 · Socialstyrelsens mål: ingår i de flesta c-målen
</t>
        </r>
        <r>
          <rPr>
            <sz val="9"/>
            <color rgb="FF000000"/>
            <rFont val="Arial"/>
            <family val="2"/>
          </rPr>
          <t xml:space="preserve">• Indikationer/kontraindikationer, farmakokinetik, verkningsmekanismer, vanliga och/eller allvarliga interaktioner, biverkningar och toxiska effekter för kardiovaskulära läkemedel, med fokus på följande grupper:
    – Beta- och alfareceptorblockad.
    – Diuretika.
    – Natriumglukostransportör 2 (SGLT2) hämmare.
    – RAAS- och neprilysin-hämmare.
</t>
        </r>
        <r>
          <rPr>
            <b/>
            <sz val="9"/>
            <color rgb="FF1B3A5C"/>
            <rFont val="Arial"/>
            <family val="2"/>
          </rPr>
          <t xml:space="preserve">
Hjärtsvikt, kardiomyopatier och pulmonell hypertension · s. 10 · Socialstyrelsens mål: STc8
</t>
        </r>
        <r>
          <rPr>
            <sz val="9"/>
            <color rgb="FF000000"/>
            <rFont val="Arial"/>
            <family val="2"/>
          </rPr>
          <t>• Läkemedelsbehandling vid akut och kronisk hjärtsvikt.</t>
        </r>
      </text>
    </comment>
    <comment ref="C37" authorId="0" shapeId="0" xr:uid="{00000000-0006-0000-0500-000009000000}">
      <text>
        <r>
          <rPr>
            <b/>
            <sz val="9"/>
            <color rgb="FF2E7D32"/>
            <rFont val="Arial"/>
            <family val="2"/>
          </rPr>
          <t xml:space="preserve">Ordagrant / nära ordagrant ur SvKF 2022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i/>
            <sz val="8"/>
            <color rgb="FF595959"/>
            <rFont val="Arial"/>
            <family val="2"/>
          </rPr>
          <t xml:space="preserve">Uppdelat per klaff.
</t>
        </r>
        <r>
          <rPr>
            <b/>
            <sz val="9"/>
            <color rgb="FF1B3A5C"/>
            <rFont val="Arial"/>
            <family val="2"/>
          </rPr>
          <t xml:space="preserve">
Hjärtklaffsjukdomar · s. 11 · Socialstyrelsens mål: STc8
</t>
        </r>
        <r>
          <rPr>
            <sz val="9"/>
            <color rgb="FF000000"/>
            <rFont val="Arial"/>
            <family val="2"/>
          </rPr>
          <t>• Klassifikation, epidemiologi, orsaker, patofysiologi, symtom, differentialdiagnoser, komplikationer och prognos vid hjärtklaffsjukdom.</t>
        </r>
      </text>
    </comment>
    <comment ref="C38" authorId="0" shapeId="0" xr:uid="{00000000-0006-0000-0500-00000A000000}">
      <text>
        <r>
          <rPr>
            <b/>
            <sz val="9"/>
            <color rgb="FF1F4E79"/>
            <rFont val="Arial"/>
            <family val="2"/>
          </rPr>
          <t xml:space="preserve">Bygger på SvKF 2022 – egen formulering/konkretisering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Hjärtsvikt, kardiomyopatier och pulmonell hypertension · s. 10 · Socialstyrelsens mål: STc8
</t>
        </r>
        <r>
          <rPr>
            <sz val="9"/>
            <color rgb="FF000000"/>
            <rFont val="Arial"/>
            <family val="2"/>
          </rPr>
          <t>• Orsaker, patofysiologi, klinisk bild, differentialdiagnoser, diagnostik, behandling, prognos och uppföljning vid pulmonell hypertension.</t>
        </r>
      </text>
    </comment>
    <comment ref="C39" authorId="0" shapeId="0" xr:uid="{00000000-0006-0000-0500-00000B000000}">
      <text>
        <r>
          <rPr>
            <b/>
            <sz val="9"/>
            <color rgb="FF1F4E79"/>
            <rFont val="Arial"/>
            <family val="2"/>
          </rPr>
          <t xml:space="preserve">Bygger på SvKF 2022 – egen formulering/konkretisering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Hjärtsvikt, kardiomyopatier och pulmonell hypertension · s. 10 · Socialstyrelsens mål: STc8
</t>
        </r>
        <r>
          <rPr>
            <sz val="9"/>
            <color rgb="FF000000"/>
            <rFont val="Arial"/>
            <family val="2"/>
          </rPr>
          <t xml:space="preserve">• Olika typer av kardiomyopatier.
• Hjärtamyloidos.
• Hjärtsarkoidos.
</t>
        </r>
        <r>
          <rPr>
            <b/>
            <sz val="9"/>
            <color rgb="FF1B3A5C"/>
            <rFont val="Arial"/>
            <family val="2"/>
          </rPr>
          <t xml:space="preserve">
Genetik vid hjärtsjukdom · s. 16 · Socialstyrelsens mål: STc10
</t>
        </r>
        <r>
          <rPr>
            <sz val="9"/>
            <color rgb="FF000000"/>
            <rFont val="Arial"/>
            <family val="2"/>
          </rPr>
          <t>• Klassifikation, epidemiologi, patofysiologi, symtom, differentialdiagnoser, undersökningsmetoder, behandling och prognos för ärftliga kardiovaskulära sjukdomar med särskilt fokus på kardiomyopatier, arytmier, aortopatier och dyslipidemier. Exempelvis:
    – Hypertrof kardiomyopati.
    – Dilaterad kardiomyopati.
    – Arytmogen Kardiomyopati (ARVC).</t>
        </r>
      </text>
    </comment>
    <comment ref="C40" authorId="0" shapeId="0" xr:uid="{00000000-0006-0000-0500-00000C000000}">
      <text>
        <r>
          <rPr>
            <b/>
            <sz val="9"/>
            <color rgb="FF2E7D32"/>
            <rFont val="Arial"/>
            <family val="2"/>
          </rPr>
          <t xml:space="preserve">Ordagrant / nära ordagrant ur SvKF 2022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Medfödda hjärtfel hos vuxna (ACHD) · s. 15–16 · Socialstyrelsens mål: STc10
</t>
        </r>
        <r>
          <rPr>
            <sz val="9"/>
            <color rgb="FF000000"/>
            <rFont val="Arial"/>
            <family val="2"/>
          </rPr>
          <t xml:space="preserve">• Patofysiologi, naturalförlopp, diagnostik, behandling och komplikationer vid:
    – Förmaksseptumdefekter (ASD). *
    – Kammarseptumdefekter (VSD). *
    – Fallots tetrad. *
    – Öppetstående ductus arteriosus. *
    – Coarctation av aorta (CoA). *
• Patofysiologi och basal kunskap om:
    – Transposition av de stora kärlen (TGA).
    – Ebsteins anomali.
    – Eisenmengers syndrom.
    – Pulmonalisstenos.
    – Aortastenos.
    – Venösa anomalier.
    – Funktionellt enkammarhjärta och Fontan cirkulation.
    – Kongenitala malformationer av kranskärlen.
    – Cyanotiska kongenitala hjärtfel och sekundär erytrocytos.
    – Pulmonell hypertension hos individer med kongenital hjärtsjukdom.
</t>
        </r>
        <r>
          <rPr>
            <i/>
            <sz val="8"/>
            <color rgb="FF595959"/>
            <rFont val="Arial"/>
            <family val="2"/>
          </rPr>
          <t xml:space="preserve">
* i SvKF = kompetensnivå 4 (i stället för 3).</t>
        </r>
      </text>
    </comment>
    <comment ref="C41" authorId="0" shapeId="0" xr:uid="{00000000-0006-0000-0500-00000D000000}">
      <text>
        <r>
          <rPr>
            <b/>
            <sz val="9"/>
            <color rgb="FF2E7D32"/>
            <rFont val="Arial"/>
            <family val="2"/>
          </rPr>
          <t xml:space="preserve">Ordagrant / nära ordagrant ur SvKF 2022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Infektiös endokardit · s. 14 · Socialstyrelsens mål: STc10
</t>
        </r>
        <r>
          <rPr>
            <sz val="9"/>
            <color rgb="FF000000"/>
            <rFont val="Arial"/>
            <family val="2"/>
          </rPr>
          <t>• Epidemiologi, orsaker, riskfaktorer och patofysiologi vid endokardit.</t>
        </r>
      </text>
    </comment>
    <comment ref="C43" authorId="0" shapeId="0" xr:uid="{00000000-0006-0000-0500-00000E000000}">
      <text>
        <r>
          <rPr>
            <b/>
            <sz val="9"/>
            <color rgb="FF2E7D32"/>
            <rFont val="Arial"/>
            <family val="2"/>
          </rPr>
          <t xml:space="preserve">Ordagrant / nära ordagrant ur SvKF 2022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Hjärtsvikt, kardiomyopatier och pulmonell hypertension · s. 10 · Socialstyrelsens mål: STc8
</t>
        </r>
        <r>
          <rPr>
            <sz val="9"/>
            <color rgb="FF000000"/>
            <rFont val="Arial"/>
            <family val="2"/>
          </rPr>
          <t>• Bedömning av hemodynamiskt status, symtom och differentialdiagnoser vid hjärtsvikt.
• Tillämpa och värdera resultatet av noninvasiva och invasiva diagnostiska metoder.</t>
        </r>
      </text>
    </comment>
    <comment ref="C44" authorId="0" shapeId="0" xr:uid="{00000000-0006-0000-0500-00000F000000}">
      <text>
        <r>
          <rPr>
            <b/>
            <sz val="9"/>
            <color rgb="FF1F4E79"/>
            <rFont val="Arial"/>
            <family val="2"/>
          </rPr>
          <t xml:space="preserve">Bygger på SvKF 2022 – egen formulering/konkretisering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Hjärtklaffsjukdomar · s. 11 · Socialstyrelsens mål: STc8
</t>
        </r>
        <r>
          <rPr>
            <sz val="9"/>
            <color rgb="FF000000"/>
            <rFont val="Arial"/>
            <family val="2"/>
          </rPr>
          <t>• Klassifikation, epidemiologi, orsaker, patofysiologi, symtom, differentialdiagnoser, komplikationer och prognos vid hjärtklaffsjukdom.
• Invasiva och noninvasiva diagnostiska metoder.
• Hemodynamisk värdering av klaffsjukdomar.</t>
        </r>
      </text>
    </comment>
    <comment ref="C45" authorId="0" shapeId="0" xr:uid="{00000000-0006-0000-0500-000010000000}">
      <text>
        <r>
          <rPr>
            <b/>
            <sz val="9"/>
            <color rgb="FF1F4E79"/>
            <rFont val="Arial"/>
            <family val="2"/>
          </rPr>
          <t xml:space="preserve">Bygger på SvKF 2022 – egen formulering/konkretisering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Hjärtsvikt, kardiomyopatier och pulmonell hypertension · s. 10 · Socialstyrelsens mål: STc8
</t>
        </r>
        <r>
          <rPr>
            <sz val="9"/>
            <color rgb="FF000000"/>
            <rFont val="Arial"/>
            <family val="2"/>
          </rPr>
          <t xml:space="preserve">• Olika typer av kardiomyopatier.
• Hjärtamyloidos.
• Hjärtsarkoidos.
• Tillämpa och värdera resultatet av noninvasiva och invasiva diagnostiska metoder.
</t>
        </r>
        <r>
          <rPr>
            <b/>
            <sz val="9"/>
            <color rgb="FF1B3A5C"/>
            <rFont val="Arial"/>
            <family val="2"/>
          </rPr>
          <t xml:space="preserve">
Genetik vid hjärtsjukdom · s. 16 · Socialstyrelsens mål: STc10
</t>
        </r>
        <r>
          <rPr>
            <sz val="9"/>
            <color rgb="FF000000"/>
            <rFont val="Arial"/>
            <family val="2"/>
          </rPr>
          <t>• Klassifikation, epidemiologi, patofysiologi, symtom, differentialdiagnoser, undersökningsmetoder, behandling och prognos för ärftliga kardiovaskulära sjukdomar med särskilt fokus på kardiomyopatier, arytmier, aortopatier och dyslipidemier. Exempelvis:
    – Hypertrof kardiomyopati.
    – Dilaterad kardiomyopati.
    – Arytmogen Kardiomyopati (ARVC).</t>
        </r>
      </text>
    </comment>
    <comment ref="C46" authorId="0" shapeId="0" xr:uid="{00000000-0006-0000-0500-000011000000}">
      <text>
        <r>
          <rPr>
            <b/>
            <sz val="9"/>
            <color rgb="FF2E7D32"/>
            <rFont val="Arial"/>
            <family val="2"/>
          </rPr>
          <t xml:space="preserve">Ordagrant / nära ordagrant ur SvKF 2022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Hjärtsvikt, kardiomyopatier och pulmonell hypertension · s. 10 · Socialstyrelsens mål: STc8
</t>
        </r>
        <r>
          <rPr>
            <sz val="9"/>
            <color rgb="FF000000"/>
            <rFont val="Arial"/>
            <family val="2"/>
          </rPr>
          <t>• Orsaker, patofysiologi, klinisk bild, differentialdiagnoser, diagnostik, behandling, prognos och uppföljning vid pulmonell hypertension.</t>
        </r>
      </text>
    </comment>
    <comment ref="C47" authorId="0" shapeId="0" xr:uid="{00000000-0006-0000-0500-000012000000}">
      <text>
        <r>
          <rPr>
            <b/>
            <sz val="9"/>
            <color rgb="FF2E7D32"/>
            <rFont val="Arial"/>
            <family val="2"/>
          </rPr>
          <t xml:space="preserve">Ordagrant / nära ordagrant ur SvKF 2022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i/>
            <sz val="8"/>
            <color rgb="FF595959"/>
            <rFont val="Arial"/>
            <family val="2"/>
          </rPr>
          <t xml:space="preserve">Exemplen i parentes är tillagda.
</t>
        </r>
        <r>
          <rPr>
            <b/>
            <sz val="9"/>
            <color rgb="FF1B3A5C"/>
            <rFont val="Arial"/>
            <family val="2"/>
          </rPr>
          <t xml:space="preserve">
Infektiös endokardit · s. 14 · Socialstyrelsens mål: STc10
</t>
        </r>
        <r>
          <rPr>
            <sz val="9"/>
            <color rgb="FF000000"/>
            <rFont val="Arial"/>
            <family val="2"/>
          </rPr>
          <t>• Symtomatologi och komplikationer vid endokardit.
• Val av diagnostiska metoder och bedömning av resultat utifrån vald diagnostisk metod samt styrkor och begränsningar med dessa metoder.</t>
        </r>
      </text>
    </comment>
    <comment ref="C49" authorId="0" shapeId="0" xr:uid="{00000000-0006-0000-0500-000013000000}">
      <text>
        <r>
          <rPr>
            <b/>
            <sz val="9"/>
            <color rgb="FF2E7D32"/>
            <rFont val="Arial"/>
            <family val="2"/>
          </rPr>
          <t xml:space="preserve">Ordagrant / nära ordagrant ur SvKF 2022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i/>
            <sz val="8"/>
            <color rgb="FF595959"/>
            <rFont val="Arial"/>
            <family val="2"/>
          </rPr>
          <t xml:space="preserve">Exemplen är tillagda.
</t>
        </r>
        <r>
          <rPr>
            <b/>
            <sz val="9"/>
            <color rgb="FF1B3A5C"/>
            <rFont val="Arial"/>
            <family val="2"/>
          </rPr>
          <t xml:space="preserve">
Hjärtsvikt, kardiomyopatier och pulmonell hypertension · s. 10 · Socialstyrelsens mål: STc8
</t>
        </r>
        <r>
          <rPr>
            <sz val="9"/>
            <color rgb="FF000000"/>
            <rFont val="Arial"/>
            <family val="2"/>
          </rPr>
          <t>• Samsjuklighet vid hjärtsvikt.</t>
        </r>
      </text>
    </comment>
    <comment ref="C50" authorId="0" shapeId="0" xr:uid="{00000000-0006-0000-0500-000014000000}">
      <text>
        <r>
          <rPr>
            <b/>
            <sz val="9"/>
            <color rgb="FF1F4E79"/>
            <rFont val="Arial"/>
            <family val="2"/>
          </rPr>
          <t xml:space="preserve">Bygger på SvKF 2022 – egen formulering/konkretisering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Hjärtsvikt, kardiomyopatier och pulmonell hypertension · s. 10 · Socialstyrelsens mål: STc8
</t>
        </r>
        <r>
          <rPr>
            <sz val="9"/>
            <color rgb="FF000000"/>
            <rFont val="Arial"/>
            <family val="2"/>
          </rPr>
          <t xml:space="preserve">• Palliativ behandling i livets slutskede vid hjärtsjukdom.
</t>
        </r>
        <r>
          <rPr>
            <b/>
            <sz val="9"/>
            <color rgb="FF1B3A5C"/>
            <rFont val="Arial"/>
            <family val="2"/>
          </rPr>
          <t xml:space="preserve">
Definition av kompetensområdet · s. 3
</t>
        </r>
        <r>
          <rPr>
            <sz val="9"/>
            <color rgb="FF000000"/>
            <rFont val="Arial"/>
            <family val="2"/>
          </rPr>
          <t>• För specialistkompetens i kardiologi krävs att kunskaper och färdigheter uppnås enligt den gemensamma kunskapsbasen (“Common trunk”) för de internmedicinska basspecialiteterna. I denna gemensamma kunskapsbas ingår att:
    – Självständigt kunna besluta om och initiera palliativ vård.</t>
        </r>
      </text>
    </comment>
    <comment ref="C51" authorId="0" shapeId="0" xr:uid="{00000000-0006-0000-0500-000015000000}">
      <text>
        <r>
          <rPr>
            <b/>
            <sz val="9"/>
            <color rgb="FF2E7D32"/>
            <rFont val="Arial"/>
            <family val="2"/>
          </rPr>
          <t xml:space="preserve">Ordagrant / nära ordagrant ur SvKF 2022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Medfödda hjärtfel hos vuxna (ACHD) · s. 15 · Socialstyrelsens mål: STc10
</t>
        </r>
        <r>
          <rPr>
            <sz val="9"/>
            <color rgb="FF000000"/>
            <rFont val="Arial"/>
            <family val="2"/>
          </rPr>
          <t xml:space="preserve">• Bedöma när en patient ska remitteras till specialistcentra eller när ACHD-specialist ska konsulteras. *
</t>
        </r>
        <r>
          <rPr>
            <b/>
            <sz val="9"/>
            <color rgb="FF1B3A5C"/>
            <rFont val="Arial"/>
            <family val="2"/>
          </rPr>
          <t xml:space="preserve">
Genetik vid hjärtsjukdom · s. 17 · Socialstyrelsens mål: STc10
</t>
        </r>
        <r>
          <rPr>
            <sz val="9"/>
            <color rgb="FF000000"/>
            <rFont val="Arial"/>
            <family val="2"/>
          </rPr>
          <t xml:space="preserve">• Identifiera patienter som bör remitteras till klinisk genetisk enhet för diagnostik och specialiserad genetisk vägledning.
</t>
        </r>
        <r>
          <rPr>
            <i/>
            <sz val="8"/>
            <color rgb="FF595959"/>
            <rFont val="Arial"/>
            <family val="2"/>
          </rPr>
          <t xml:space="preserve">
* i SvKF = kompetensnivå 4 (i stället för 3).</t>
        </r>
      </text>
    </comment>
    <comment ref="C52" authorId="0" shapeId="0" xr:uid="{00000000-0006-0000-0500-000016000000}">
      <text>
        <r>
          <rPr>
            <b/>
            <sz val="9"/>
            <color rgb="FF2E7D32"/>
            <rFont val="Arial"/>
            <family val="2"/>
          </rPr>
          <t xml:space="preserve">Ordagrant / nära ordagrant ur SvKF 2022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Infektiös endokardit · s. 14 · Socialstyrelsens mål: STc10
</t>
        </r>
        <r>
          <rPr>
            <sz val="9"/>
            <color rgb="FF000000"/>
            <rFont val="Arial"/>
            <family val="2"/>
          </rPr>
          <t>• Antibiotikaterapi samt indikationer, tidsperspektiv och risker med invasiv behandling (kirurgi, device-extraktion).
• Indikationer för kontakt med specialiserat centrum.</t>
        </r>
      </text>
    </comment>
    <comment ref="C53" authorId="0" shapeId="0" xr:uid="{00000000-0006-0000-0500-000017000000}">
      <text>
        <r>
          <rPr>
            <b/>
            <sz val="9"/>
            <color rgb="FF2E7D32"/>
            <rFont val="Arial"/>
            <family val="2"/>
          </rPr>
          <t xml:space="preserve">Ordagrant / nära ordagrant ur SvKF 2022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Hjärtsvikt, kardiomyopatier och pulmonell hypertension · s. 10 · Socialstyrelsens mål: STc8
</t>
        </r>
        <r>
          <rPr>
            <sz val="9"/>
            <color rgb="FF000000"/>
            <rFont val="Arial"/>
            <family val="2"/>
          </rPr>
          <t>• Indikationer och initial utredning inför hjärttransplantation.</t>
        </r>
      </text>
    </comment>
    <comment ref="C55" authorId="0" shapeId="0" xr:uid="{00000000-0006-0000-0500-000018000000}">
      <text>
        <r>
          <rPr>
            <b/>
            <sz val="9"/>
            <color rgb="FF2E7D32"/>
            <rFont val="Arial"/>
            <family val="2"/>
          </rPr>
          <t xml:space="preserve">Ordagrant / nära ordagrant ur SvKF 2022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Hjärtsvikt, kardiomyopatier och pulmonell hypertension · s. 10 · Socialstyrelsens mål: STc8
</t>
        </r>
        <r>
          <rPr>
            <sz val="9"/>
            <color rgb="FF000000"/>
            <rFont val="Arial"/>
            <family val="2"/>
          </rPr>
          <t>• Läkemedelsbehandling vid akut och kronisk hjärtsvikt.</t>
        </r>
      </text>
    </comment>
    <comment ref="C56" authorId="0" shapeId="0" xr:uid="{00000000-0006-0000-0500-000019000000}">
      <text>
        <r>
          <rPr>
            <b/>
            <sz val="9"/>
            <color rgb="FF2E7D32"/>
            <rFont val="Arial"/>
            <family val="2"/>
          </rPr>
          <t xml:space="preserve">Ordagrant / nära ordagrant ur SvKF 2022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Hjärtsvikt, kardiomyopatier och pulmonell hypertension · s. 10 · Socialstyrelsens mål: STc8
</t>
        </r>
        <r>
          <rPr>
            <sz val="9"/>
            <color rgb="FF000000"/>
            <rFont val="Arial"/>
            <family val="2"/>
          </rPr>
          <t>• Läkemedelsbehandling vid akut och kronisk hjärtsvikt.</t>
        </r>
      </text>
    </comment>
    <comment ref="C57" authorId="0" shapeId="0" xr:uid="{00000000-0006-0000-0500-00001A000000}">
      <text>
        <r>
          <rPr>
            <b/>
            <sz val="9"/>
            <color rgb="FF2E7D32"/>
            <rFont val="Arial"/>
            <family val="2"/>
          </rPr>
          <t xml:space="preserve">Ordagrant / nära ordagrant ur SvKF 2022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Hjärtsvikt, kardiomyopatier och pulmonell hypertension · s. 10 · Socialstyrelsens mål: STc8
</t>
        </r>
        <r>
          <rPr>
            <sz val="9"/>
            <color rgb="FF000000"/>
            <rFont val="Arial"/>
            <family val="2"/>
          </rPr>
          <t>• Indikationer för invasiva och kirurgiska behandlingsmetoder vid hjärtsvikt inkluderande CRT/ICD, ablation, klaff- och kranskärlsintervention samt mekaniskt cirkulationsstöd.</t>
        </r>
      </text>
    </comment>
    <comment ref="C58" authorId="0" shapeId="0" xr:uid="{00000000-0006-0000-0500-00001B000000}">
      <text>
        <r>
          <rPr>
            <b/>
            <sz val="9"/>
            <color rgb="FF2E7D32"/>
            <rFont val="Arial"/>
            <family val="2"/>
          </rPr>
          <t xml:space="preserve">Ordagrant / nära ordagrant ur SvKF 2022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Infektiös endokardit · s. 14 · Socialstyrelsens mål: STc10
</t>
        </r>
        <r>
          <rPr>
            <sz val="9"/>
            <color rgb="FF000000"/>
            <rFont val="Arial"/>
            <family val="2"/>
          </rPr>
          <t>• Antibiotikaterapi samt indikationer, tidsperspektiv och risker med invasiv behandling (kirurgi, device-extraktion).</t>
        </r>
      </text>
    </comment>
    <comment ref="C59" authorId="0" shapeId="0" xr:uid="{00000000-0006-0000-0500-00001C000000}">
      <text>
        <r>
          <rPr>
            <b/>
            <sz val="9"/>
            <color rgb="FF2E7D32"/>
            <rFont val="Arial"/>
            <family val="2"/>
          </rPr>
          <t xml:space="preserve">Ordagrant / nära ordagrant ur SvKF 2022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Hjärtklaffsjukdomar · s. 11 · Socialstyrelsens mål: STc8
</t>
        </r>
        <r>
          <rPr>
            <sz val="9"/>
            <color rgb="FF000000"/>
            <rFont val="Arial"/>
            <family val="2"/>
          </rPr>
          <t>• Postoperativ vård och initial handläggning av komplikationer, samt uppföljning efter klaffkirurgi och perkutan intervention.
• Handläggning av patienter med klaffprotesdysfunktion/-komplikation.</t>
        </r>
      </text>
    </comment>
    <comment ref="C60" authorId="0" shapeId="0" xr:uid="{00000000-0006-0000-0500-00001D000000}">
      <text>
        <r>
          <rPr>
            <b/>
            <sz val="9"/>
            <color rgb="FF2E7D32"/>
            <rFont val="Arial"/>
            <family val="2"/>
          </rPr>
          <t xml:space="preserve">Ordagrant / nära ordagrant ur SvKF 2022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Hjärtsvikt, kardiomyopatier och pulmonell hypertension · s. 10 · Socialstyrelsens mål: STc8
</t>
        </r>
        <r>
          <rPr>
            <sz val="9"/>
            <color rgb="FF000000"/>
            <rFont val="Arial"/>
            <family val="2"/>
          </rPr>
          <t>• Orsaker, patofysiologi, klinisk bild, differentialdiagnoser, diagnostik, behandling, prognos och uppföljning vid pulmonell hypertension.</t>
        </r>
      </text>
    </comment>
    <comment ref="C61" authorId="0" shapeId="0" xr:uid="{00000000-0006-0000-0500-00001E000000}">
      <text>
        <r>
          <rPr>
            <b/>
            <sz val="9"/>
            <color rgb="FF2E7D32"/>
            <rFont val="Arial"/>
            <family val="2"/>
          </rPr>
          <t xml:space="preserve">Ordagrant / nära ordagrant ur SvKF 2022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i/>
            <sz val="8"/>
            <color rgb="FF595959"/>
            <rFont val="Arial"/>
            <family val="2"/>
          </rPr>
          <t xml:space="preserve">Exemplen i parentes är tillagda.
</t>
        </r>
        <r>
          <rPr>
            <b/>
            <sz val="9"/>
            <color rgb="FF1B3A5C"/>
            <rFont val="Arial"/>
            <family val="2"/>
          </rPr>
          <t xml:space="preserve">
Hjärtsvikt, kardiomyopatier och pulmonell hypertension · s. 10 · Socialstyrelsens mål: STc8
</t>
        </r>
        <r>
          <rPr>
            <sz val="9"/>
            <color rgb="FF000000"/>
            <rFont val="Arial"/>
            <family val="2"/>
          </rPr>
          <t xml:space="preserve">• Olika typer av kardiomyopatier.
• Hjärtamyloidos.
• Hjärtsarkoidos.
</t>
        </r>
        <r>
          <rPr>
            <b/>
            <sz val="9"/>
            <color rgb="FF1B3A5C"/>
            <rFont val="Arial"/>
            <family val="2"/>
          </rPr>
          <t xml:space="preserve">
Genetik vid hjärtsjukdom · s. 16 · Socialstyrelsens mål: STc10
</t>
        </r>
        <r>
          <rPr>
            <sz val="9"/>
            <color rgb="FF000000"/>
            <rFont val="Arial"/>
            <family val="2"/>
          </rPr>
          <t>• Klassifikation, epidemiologi, patofysiologi, symtom, differentialdiagnoser, undersökningsmetoder, behandling och prognos för ärftliga kardiovaskulära sjukdomar med särskilt fokus på kardiomyopatier, arytmier, aortopatier och dyslipidemier. Exempelvis:
    – Hypertrof kardiomyopati.
    – Dilaterad kardiomyopati.
    – Arytmogen Kardiomyopati (ARVC).</t>
        </r>
      </text>
    </comment>
    <comment ref="C62" authorId="0" shapeId="0" xr:uid="{00000000-0006-0000-0500-00001F000000}">
      <text>
        <r>
          <rPr>
            <b/>
            <sz val="9"/>
            <color rgb="FF2E7D32"/>
            <rFont val="Arial"/>
            <family val="2"/>
          </rPr>
          <t xml:space="preserve">Ordagrant / nära ordagrant ur SvKF 2022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Hjärtsvikt, kardiomyopatier och pulmonell hypertension · s. 10 · Socialstyrelsens mål: STc8
</t>
        </r>
        <r>
          <rPr>
            <sz val="9"/>
            <color rgb="FF000000"/>
            <rFont val="Arial"/>
            <family val="2"/>
          </rPr>
          <t>• Behandling och uppföljning efter hjärttransplantation.</t>
        </r>
      </text>
    </comment>
    <comment ref="C64" authorId="0" shapeId="0" xr:uid="{00000000-0006-0000-0500-000020000000}">
      <text>
        <r>
          <rPr>
            <b/>
            <sz val="9"/>
            <color rgb="FF1F4E79"/>
            <rFont val="Arial"/>
            <family val="2"/>
          </rPr>
          <t xml:space="preserve">Bygger på SvKF 2022 – egen formulering/konkretisering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Hjärtsvikt, kardiomyopatier och pulmonell hypertension · s. 10 · Socialstyrelsens mål: STc8
</t>
        </r>
        <r>
          <rPr>
            <sz val="9"/>
            <color rgb="FF000000"/>
            <rFont val="Arial"/>
            <family val="2"/>
          </rPr>
          <t xml:space="preserve">• Definition, klassifikation, epidemiologi, riskfaktorer, etiologier, patofysiologi och prognos vid akut hjärtsvikt och kronisk hjärtsvikt i relation till grad av kammardysfunktion.
• Metoder för funktions- och prognosbedömning.
• Interprofessionellt samarbete och hjärtsviktsmottagning.
</t>
        </r>
        <r>
          <rPr>
            <b/>
            <sz val="9"/>
            <color rgb="FF1B3A5C"/>
            <rFont val="Arial"/>
            <family val="2"/>
          </rPr>
          <t xml:space="preserve">
Medfödda hjärtfel hos vuxna (ACHD) · s. 16 · Socialstyrelsens mål: STc10
</t>
        </r>
        <r>
          <rPr>
            <sz val="9"/>
            <color rgb="FF000000"/>
            <rFont val="Arial"/>
            <family val="2"/>
          </rPr>
          <t>• Uppföljningsbehov och patientutbildning.</t>
        </r>
      </text>
    </comment>
    <comment ref="C65" authorId="0" shapeId="0" xr:uid="{00000000-0006-0000-0500-000021000000}">
      <text>
        <r>
          <rPr>
            <b/>
            <sz val="9"/>
            <color rgb="FF2E7D32"/>
            <rFont val="Arial"/>
            <family val="2"/>
          </rPr>
          <t xml:space="preserve">Ordagrant / nära ordagrant ur SvKF 2022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Hjärtklaffsjukdomar · s. 11 · Socialstyrelsens mål: STc8
</t>
        </r>
        <r>
          <rPr>
            <sz val="9"/>
            <color rgb="FF000000"/>
            <rFont val="Arial"/>
            <family val="2"/>
          </rPr>
          <t>• Postoperativ vård och initial handläggning av komplikationer, samt uppföljning efter klaffkirurgi och perkutan intervention.
• Uppföljning av patienter med klaffsjukdomar.</t>
        </r>
      </text>
    </comment>
    <comment ref="C66" authorId="0" shapeId="0" xr:uid="{00000000-0006-0000-0500-000022000000}">
      <text>
        <r>
          <rPr>
            <b/>
            <sz val="9"/>
            <color rgb="FF2E7D32"/>
            <rFont val="Arial"/>
            <family val="2"/>
          </rPr>
          <t xml:space="preserve">Ordagrant / nära ordagrant ur SvKF 2022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Hjärtklaffsjukdomar · s. 11 · Socialstyrelsens mål: STc8
</t>
        </r>
        <r>
          <rPr>
            <sz val="9"/>
            <color rgb="FF000000"/>
            <rFont val="Arial"/>
            <family val="2"/>
          </rPr>
          <t xml:space="preserve">• Riktlinjer för antikoagulation och endokarditprofylax.
</t>
        </r>
        <r>
          <rPr>
            <b/>
            <sz val="9"/>
            <color rgb="FF1B3A5C"/>
            <rFont val="Arial"/>
            <family val="2"/>
          </rPr>
          <t xml:space="preserve">
Medfödda hjärtfel hos vuxna (ACHD) · s. 16 · Socialstyrelsens mål: STc10
</t>
        </r>
        <r>
          <rPr>
            <sz val="9"/>
            <color rgb="FF000000"/>
            <rFont val="Arial"/>
            <family val="2"/>
          </rPr>
          <t xml:space="preserve">• Tillämpa riktlinjer för antikoagulation och endokarditprofylax. *
</t>
        </r>
        <r>
          <rPr>
            <i/>
            <sz val="8"/>
            <color rgb="FF595959"/>
            <rFont val="Arial"/>
            <family val="2"/>
          </rPr>
          <t xml:space="preserve">
* i SvKF = kompetensnivå 4 (i stället för 3).</t>
        </r>
      </text>
    </comment>
    <comment ref="C67" authorId="0" shapeId="0" xr:uid="{00000000-0006-0000-0500-000023000000}">
      <text>
        <r>
          <rPr>
            <b/>
            <sz val="9"/>
            <color rgb="FF2E7D32"/>
            <rFont val="Arial"/>
            <family val="2"/>
          </rPr>
          <t xml:space="preserve">Ordagrant / nära ordagrant ur SvKF 2022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Hjärtsvikt, kardiomyopatier och pulmonell hypertension · s. 10 · Socialstyrelsens mål: STc8
</t>
        </r>
        <r>
          <rPr>
            <sz val="9"/>
            <color rgb="FF000000"/>
            <rFont val="Arial"/>
            <family val="2"/>
          </rPr>
          <t xml:space="preserve">• Betydelse av och rådgivning kring levnadsvanor inklusive fysisk aktivitet.
</t>
        </r>
        <r>
          <rPr>
            <b/>
            <sz val="9"/>
            <color rgb="FF1B3A5C"/>
            <rFont val="Arial"/>
            <family val="2"/>
          </rPr>
          <t xml:space="preserve">
Preventiv kardiologi · s. 18 · Socialstyrelsens mål: STc12
</t>
        </r>
        <r>
          <rPr>
            <sz val="9"/>
            <color rgb="FF000000"/>
            <rFont val="Arial"/>
            <family val="2"/>
          </rPr>
          <t>• Sjukdomsförebyggande metoder och rådgivning avseende ohälsosamma levnadsvanor: rökning, fysisk inaktivitet, ogynnsamma matvanor, alkoholkonsumtion.</t>
        </r>
      </text>
    </comment>
    <comment ref="C68" authorId="0" shapeId="0" xr:uid="{00000000-0006-0000-0500-000024000000}">
      <text>
        <r>
          <rPr>
            <b/>
            <sz val="9"/>
            <color rgb="FF2E7D32"/>
            <rFont val="Arial"/>
            <family val="2"/>
          </rPr>
          <t xml:space="preserve">Ordagrant / nära ordagrant ur SvKF 2022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Genetik vid hjärtsjukdom · s. 17 · Socialstyrelsens mål: STc10
</t>
        </r>
        <r>
          <rPr>
            <sz val="9"/>
            <color rgb="FF000000"/>
            <rFont val="Arial"/>
            <family val="2"/>
          </rPr>
          <t xml:space="preserve">• Rådgivning kring familjeplanering.
</t>
        </r>
        <r>
          <rPr>
            <b/>
            <sz val="9"/>
            <color rgb="FF1B3A5C"/>
            <rFont val="Arial"/>
            <family val="2"/>
          </rPr>
          <t xml:space="preserve">
Graviditet och hjärtsjukdom · s. 17 · Socialstyrelsens mål: STc10
</t>
        </r>
        <r>
          <rPr>
            <sz val="9"/>
            <color rgb="FF000000"/>
            <rFont val="Arial"/>
            <family val="2"/>
          </rPr>
          <t xml:space="preserve">• Kardiella kontraindikationer för graviditet och indikationer för genetisk rådgivning vid ärftliga sjukdomar.
</t>
        </r>
        <r>
          <rPr>
            <b/>
            <sz val="9"/>
            <color rgb="FF1B3A5C"/>
            <rFont val="Arial"/>
            <family val="2"/>
          </rPr>
          <t xml:space="preserve">
Medfödda hjärtfel hos vuxna (ACHD) · s. 16 · Socialstyrelsens mål: STc10
</t>
        </r>
        <r>
          <rPr>
            <sz val="9"/>
            <color rgb="FF000000"/>
            <rFont val="Arial"/>
            <family val="2"/>
          </rPr>
          <t>• Genetisk rådgivning och prenatal diagnostik samt de specifika etiska problem som föreligger.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Rozh Kader</author>
  </authors>
  <commentList>
    <comment ref="C23" authorId="0" shapeId="0" xr:uid="{00000000-0006-0000-0600-000001000000}">
      <text>
        <r>
          <rPr>
            <b/>
            <sz val="9"/>
            <color rgb="FF2E7D32"/>
            <rFont val="Arial"/>
            <family val="2"/>
          </rPr>
          <t xml:space="preserve">Ordagrant / nära ordagrant ur SvKF 2022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Arytmier och synkope › Bradykardier och device · s. 12 · Socialstyrelsens mål: STc6, STc9
</t>
        </r>
        <r>
          <rPr>
            <sz val="9"/>
            <color rgb="FF000000"/>
            <rFont val="Arial"/>
            <family val="2"/>
          </rPr>
          <t xml:space="preserve">• Pacemaker- och ICD-avläsning samt basal programmering:
    – Interrogera en pacemaker/ICD. Genomföra tröskelvärdestest, sensingtest, analysera impedans.
    – Omprogrammering av pacing mode samt basfrekvens.
    – Interrogera en ICD och avgöra om det förekommit terapier samt avgöra om dessa varit adekvata.
    – Stänga av takykardibrytande terapier på en ICD (magnet och omprogrammering).
</t>
        </r>
        <r>
          <rPr>
            <b/>
            <sz val="9"/>
            <color rgb="FF1B3A5C"/>
            <rFont val="Arial"/>
            <family val="2"/>
          </rPr>
          <t xml:space="preserve">
Rekommendationslista – kompetensnivåer för färdigheter · s. 23
</t>
        </r>
        <r>
          <rPr>
            <sz val="9"/>
            <color rgb="FF000000"/>
            <rFont val="Arial"/>
            <family val="2"/>
          </rPr>
          <t xml:space="preserve">• Basal pacemaker-programmering och ICD-avläsning — nivå Sverige: 4, ESC: 3
• ICD: Avstängning av chockterapier med programmerare — nivå Sverige: 4, ESC: N/A
</t>
        </r>
        <r>
          <rPr>
            <b/>
            <sz val="9"/>
            <color rgb="FF1B3A5C"/>
            <rFont val="Arial"/>
            <family val="2"/>
          </rPr>
          <t xml:space="preserve">
Plan för genomförande av specialistutbildningen · s. 5
</t>
        </r>
        <r>
          <rPr>
            <sz val="9"/>
            <color rgb="FF000000"/>
            <rFont val="Arial"/>
            <family val="2"/>
          </rPr>
          <t xml:space="preserve">• För att uppfylla målen rekommenderar Svenska Kardiologföreningen att man tjänstgör vid enhet vars verksamhet innefattar:
    – Arytmivård ≥ 6 månader. Denna tjänstgöring bör inkludera minst:
        – Pacemakermottagning ≥ 2 veckor (auskultation och egen färdighetsträning) samt återkommande kontroller inom slutenvård.
</t>
        </r>
        <r>
          <rPr>
            <b/>
            <sz val="9"/>
            <color rgb="FF1B3A5C"/>
            <rFont val="Arial"/>
            <family val="2"/>
          </rPr>
          <t xml:space="preserve">
Arytmier och synkope › Takykardier · s. 12 · Socialstyrelsens mål: STc6, STc9
</t>
        </r>
        <r>
          <rPr>
            <sz val="9"/>
            <color rgb="FF000000"/>
            <rFont val="Arial"/>
            <family val="2"/>
          </rPr>
          <t>• Inaktivering av en ICD med magnet och programmerare samt avslutande av ICD-behandling i livets slutskede.</t>
        </r>
      </text>
    </comment>
    <comment ref="C24" authorId="0" shapeId="0" xr:uid="{00000000-0006-0000-0600-000002000000}">
      <text>
        <r>
          <rPr>
            <b/>
            <sz val="9"/>
            <color rgb="FFC55A11"/>
            <rFont val="Arial"/>
            <family val="2"/>
          </rPr>
          <t xml:space="preserve">Egen formulering – finns inte som eget delmål i SvKF 2022
</t>
        </r>
        <r>
          <rPr>
            <sz val="8"/>
            <color rgb="FF595959"/>
            <rFont val="Arial"/>
            <family val="2"/>
          </rPr>
          <t xml:space="preserve">Närliggande text i Svenska Kardiologföreningens Kompetensbeskrivning 2022 (uppdaterad 24 oktober 2024)
</t>
        </r>
        <r>
          <rPr>
            <i/>
            <sz val="8"/>
            <color rgb="FF595959"/>
            <rFont val="Arial"/>
            <family val="2"/>
          </rPr>
          <t xml:space="preserve">TILT nämns inte i SvKF 2022.
</t>
        </r>
        <r>
          <rPr>
            <b/>
            <sz val="9"/>
            <color rgb="FF1B3A5C"/>
            <rFont val="Arial"/>
            <family val="2"/>
          </rPr>
          <t xml:space="preserve">
Arytmier och synkope › Synkope · s. 12 · Socialstyrelsens mål: STc6, STc9
</t>
        </r>
        <r>
          <rPr>
            <sz val="9"/>
            <color rgb="FF000000"/>
            <rFont val="Arial"/>
            <family val="2"/>
          </rPr>
          <t>• Strukturerad utredning.</t>
        </r>
      </text>
    </comment>
    <comment ref="C25" authorId="0" shapeId="0" xr:uid="{00000000-0006-0000-0600-000003000000}">
      <text>
        <r>
          <rPr>
            <b/>
            <sz val="9"/>
            <color rgb="FF2E7D32"/>
            <rFont val="Arial"/>
            <family val="2"/>
          </rPr>
          <t xml:space="preserve">Ordagrant / nära ordagrant ur SvKF 2022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Arytmier och synkope › Förmaksflimmer/Förmaksfladder · s. 12 · Socialstyrelsens mål: STc6, STc9
</t>
        </r>
        <r>
          <rPr>
            <sz val="9"/>
            <color rgb="FF000000"/>
            <rFont val="Arial"/>
            <family val="2"/>
          </rPr>
          <t xml:space="preserve">• Farmakologisk konvertering och elkonvertering.
</t>
        </r>
        <r>
          <rPr>
            <b/>
            <sz val="9"/>
            <color rgb="FF1B3A5C"/>
            <rFont val="Arial"/>
            <family val="2"/>
          </rPr>
          <t xml:space="preserve">
Rekommendationslista – kompetensnivåer för färdigheter · s. 23
</t>
        </r>
        <r>
          <rPr>
            <sz val="9"/>
            <color rgb="FF000000"/>
            <rFont val="Arial"/>
            <family val="2"/>
          </rPr>
          <t>• Elkonvertering — nivå Sverige: 5, ESC: 5</t>
        </r>
      </text>
    </comment>
    <comment ref="C26" authorId="0" shapeId="0" xr:uid="{00000000-0006-0000-0600-000004000000}">
      <text>
        <r>
          <rPr>
            <b/>
            <sz val="9"/>
            <color rgb="FF2E7D32"/>
            <rFont val="Arial"/>
            <family val="2"/>
          </rPr>
          <t xml:space="preserve">Ordagrant / nära ordagrant ur SvKF 2022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Arytmier och synkope › Takykardier · s. 11 · Socialstyrelsens mål: STc6, STc9
</t>
        </r>
        <r>
          <rPr>
            <sz val="9"/>
            <color rgb="FF000000"/>
            <rFont val="Arial"/>
            <family val="2"/>
          </rPr>
          <t xml:space="preserve">• Genomförande och tolkning av esofagus-EKG.
</t>
        </r>
        <r>
          <rPr>
            <b/>
            <sz val="9"/>
            <color rgb="FF1B3A5C"/>
            <rFont val="Arial"/>
            <family val="2"/>
          </rPr>
          <t xml:space="preserve">
Rekommendationslista – kompetensnivåer för färdigheter · s. 23
</t>
        </r>
        <r>
          <rPr>
            <sz val="9"/>
            <color rgb="FF000000"/>
            <rFont val="Arial"/>
            <family val="2"/>
          </rPr>
          <t>• Esofagus-EKG — nivå Sverige: 5, ESC: 4</t>
        </r>
      </text>
    </comment>
    <comment ref="C32" authorId="0" shapeId="0" xr:uid="{00000000-0006-0000-0600-000005000000}">
      <text>
        <r>
          <rPr>
            <b/>
            <sz val="9"/>
            <color rgb="FF2E7D32"/>
            <rFont val="Arial"/>
            <family val="2"/>
          </rPr>
          <t xml:space="preserve">Ordagrant / nära ordagrant ur SvKF 2022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i/>
            <sz val="8"/>
            <color rgb="FF595959"/>
            <rFont val="Arial"/>
            <family val="2"/>
          </rPr>
          <t xml:space="preserve">Exemplen i parentes är tillagda.
</t>
        </r>
        <r>
          <rPr>
            <b/>
            <sz val="9"/>
            <color rgb="FF1B3A5C"/>
            <rFont val="Arial"/>
            <family val="2"/>
          </rPr>
          <t xml:space="preserve">
Arytmier och synkope · s. 11 · Socialstyrelsens mål: STc6, STc9
</t>
        </r>
        <r>
          <rPr>
            <sz val="9"/>
            <color rgb="FF000000"/>
            <rFont val="Arial"/>
            <family val="2"/>
          </rPr>
          <t xml:space="preserve">• Klassifikation, epidemiologi, orsaker, patofysiologi, klinisk bild, differentialdiagnoser, diagnostik, behandling och prognos vid supraventrikulära och ventrikulära takyarytmier, bradykardier samt synkope.
</t>
        </r>
        <r>
          <rPr>
            <b/>
            <sz val="9"/>
            <color rgb="FF1B3A5C"/>
            <rFont val="Arial"/>
            <family val="2"/>
          </rPr>
          <t xml:space="preserve">
Arytmier och synkope › Förmaksflimmer/Förmaksfladder · s. 12 · Socialstyrelsens mål: STc6, STc9
</t>
        </r>
        <r>
          <rPr>
            <sz val="9"/>
            <color rgb="FF000000"/>
            <rFont val="Arial"/>
            <family val="2"/>
          </rPr>
          <t>• Epidemiologi, patofysiologi, symtomatologi, prognos och klassifikation.</t>
        </r>
      </text>
    </comment>
    <comment ref="C33" authorId="0" shapeId="0" xr:uid="{00000000-0006-0000-0600-000006000000}">
      <text>
        <r>
          <rPr>
            <b/>
            <sz val="9"/>
            <color rgb="FF2E7D32"/>
            <rFont val="Arial"/>
            <family val="2"/>
          </rPr>
          <t xml:space="preserve">Ordagrant / nära ordagrant ur SvKF 2022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i/>
            <sz val="8"/>
            <color rgb="FF595959"/>
            <rFont val="Arial"/>
            <family val="2"/>
          </rPr>
          <t xml:space="preserve">Exemplen i parentes är tillagda.
</t>
        </r>
        <r>
          <rPr>
            <b/>
            <sz val="9"/>
            <color rgb="FF1B3A5C"/>
            <rFont val="Arial"/>
            <family val="2"/>
          </rPr>
          <t xml:space="preserve">
Arytmier och synkope · s. 11 · Socialstyrelsens mål: STc6, STc9
</t>
        </r>
        <r>
          <rPr>
            <sz val="9"/>
            <color rgb="FF000000"/>
            <rFont val="Arial"/>
            <family val="2"/>
          </rPr>
          <t>• Klassifikation, epidemiologi, orsaker, patofysiologi, klinisk bild, differentialdiagnoser, diagnostik, behandling och prognos vid supraventrikulära och ventrikulära takyarytmier, bradykardier samt synkope.</t>
        </r>
      </text>
    </comment>
    <comment ref="C34" authorId="0" shapeId="0" xr:uid="{00000000-0006-0000-0600-000007000000}">
      <text>
        <r>
          <rPr>
            <b/>
            <sz val="9"/>
            <color rgb="FF2E7D32"/>
            <rFont val="Arial"/>
            <family val="2"/>
          </rPr>
          <t xml:space="preserve">Ordagrant / nära ordagrant ur SvKF 2022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i/>
            <sz val="8"/>
            <color rgb="FF595959"/>
            <rFont val="Arial"/>
            <family val="2"/>
          </rPr>
          <t xml:space="preserve">Exemplen i parentes är tillagda.
</t>
        </r>
        <r>
          <rPr>
            <b/>
            <sz val="9"/>
            <color rgb="FF1B3A5C"/>
            <rFont val="Arial"/>
            <family val="2"/>
          </rPr>
          <t xml:space="preserve">
Arytmier och synkope · s. 11 · Socialstyrelsens mål: STc6, STc9
</t>
        </r>
        <r>
          <rPr>
            <sz val="9"/>
            <color rgb="FF000000"/>
            <rFont val="Arial"/>
            <family val="2"/>
          </rPr>
          <t>• Klassifikation, epidemiologi, orsaker, patofysiologi, klinisk bild, differentialdiagnoser, diagnostik, behandling och prognos vid supraventrikulära och ventrikulära takyarytmier, bradykardier samt synkope.</t>
        </r>
      </text>
    </comment>
    <comment ref="C35" authorId="0" shapeId="0" xr:uid="{00000000-0006-0000-0600-000008000000}">
      <text>
        <r>
          <rPr>
            <b/>
            <sz val="9"/>
            <color rgb="FF2E7D32"/>
            <rFont val="Arial"/>
            <family val="2"/>
          </rPr>
          <t xml:space="preserve">Ordagrant / nära ordagrant ur SvKF 2022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i/>
            <sz val="8"/>
            <color rgb="FF595959"/>
            <rFont val="Arial"/>
            <family val="2"/>
          </rPr>
          <t xml:space="preserve">Exemplen i parentes är tillagda.
</t>
        </r>
        <r>
          <rPr>
            <b/>
            <sz val="9"/>
            <color rgb="FF1B3A5C"/>
            <rFont val="Arial"/>
            <family val="2"/>
          </rPr>
          <t xml:space="preserve">
Arytmier och synkope · s. 11 · Socialstyrelsens mål: STc6, STc9
</t>
        </r>
        <r>
          <rPr>
            <sz val="9"/>
            <color rgb="FF000000"/>
            <rFont val="Arial"/>
            <family val="2"/>
          </rPr>
          <t>• Klassifikation, epidemiologi, orsaker, patofysiologi, klinisk bild, differentialdiagnoser, diagnostik, behandling och prognos vid supraventrikulära och ventrikulära takyarytmier, bradykardier samt synkope.</t>
        </r>
      </text>
    </comment>
    <comment ref="C36" authorId="0" shapeId="0" xr:uid="{00000000-0006-0000-0600-000009000000}">
      <text>
        <r>
          <rPr>
            <b/>
            <sz val="9"/>
            <color rgb="FF1F4E79"/>
            <rFont val="Arial"/>
            <family val="2"/>
          </rPr>
          <t xml:space="preserve">Bygger på SvKF 2022 – egen formulering/konkretisering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Arytmier och synkope · s. 11 · Socialstyrelsens mål: STc6, STc9
</t>
        </r>
        <r>
          <rPr>
            <sz val="9"/>
            <color rgb="FF000000"/>
            <rFont val="Arial"/>
            <family val="2"/>
          </rPr>
          <t>• Hjärtats elektrofysiologi och anatomi.</t>
        </r>
      </text>
    </comment>
    <comment ref="C37" authorId="0" shapeId="0" xr:uid="{00000000-0006-0000-0600-00000A000000}">
      <text>
        <r>
          <rPr>
            <b/>
            <sz val="9"/>
            <color rgb="FF1F4E79"/>
            <rFont val="Arial"/>
            <family val="2"/>
          </rPr>
          <t xml:space="preserve">Bygger på SvKF 2022 – egen formulering/konkretisering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i/>
            <sz val="8"/>
            <color rgb="FF595959"/>
            <rFont val="Arial"/>
            <family val="2"/>
          </rPr>
          <t xml:space="preserve">Vaughan-Williams-klassifikationen och läkemedelsexemplen är tillagda.
</t>
        </r>
        <r>
          <rPr>
            <b/>
            <sz val="9"/>
            <color rgb="FF1B3A5C"/>
            <rFont val="Arial"/>
            <family val="2"/>
          </rPr>
          <t xml:space="preserve">
Klinisk farmakologi · s. 19 · Socialstyrelsens mål: ingår i de flesta c-målen
</t>
        </r>
        <r>
          <rPr>
            <sz val="9"/>
            <color rgb="FF000000"/>
            <rFont val="Arial"/>
            <family val="2"/>
          </rPr>
          <t>• Indikationer/kontraindikationer, farmakokinetik, verkningsmekanismer, vanliga och/eller allvarliga interaktioner, biverkningar och toxiska effekter för kardiovaskulära läkemedel, med fokus på följande grupper:
    – Antiarytmika.</t>
        </r>
      </text>
    </comment>
    <comment ref="C38" authorId="0" shapeId="0" xr:uid="{00000000-0006-0000-0600-00000B000000}">
      <text>
        <r>
          <rPr>
            <b/>
            <sz val="9"/>
            <color rgb="FF1F4E79"/>
            <rFont val="Arial"/>
            <family val="2"/>
          </rPr>
          <t xml:space="preserve">Bygger på SvKF 2022 – egen formulering/konkretisering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Arytmier och synkope › Takykardier · s. 11 · Socialstyrelsens mål: STc6, STc9
</t>
        </r>
        <r>
          <rPr>
            <sz val="9"/>
            <color rgb="FF000000"/>
            <rFont val="Arial"/>
            <family val="2"/>
          </rPr>
          <t xml:space="preserve">• Antiarytmisk läkemedelsbehandling (inklusive proarytmier) av supraventrikulära och ventrikulära takykardier.
</t>
        </r>
        <r>
          <rPr>
            <b/>
            <sz val="9"/>
            <color rgb="FF1B3A5C"/>
            <rFont val="Arial"/>
            <family val="2"/>
          </rPr>
          <t xml:space="preserve">
Klinisk farmakologi · s. 19 · Socialstyrelsens mål: ingår i de flesta c-målen
</t>
        </r>
        <r>
          <rPr>
            <sz val="9"/>
            <color rgb="FF000000"/>
            <rFont val="Arial"/>
            <family val="2"/>
          </rPr>
          <t xml:space="preserve">• Kardiovaskulära biverkningar av annan läkemedelsbehandling.
</t>
        </r>
        <r>
          <rPr>
            <b/>
            <sz val="9"/>
            <color rgb="FF1B3A5C"/>
            <rFont val="Arial"/>
            <family val="2"/>
          </rPr>
          <t xml:space="preserve">
Hjärttumörer och kardiella komplikationer vid onkologisk sjukdom · s. 15 · Socialstyrelsens mål: STc10
</t>
        </r>
        <r>
          <rPr>
            <sz val="9"/>
            <color rgb="FF000000"/>
            <rFont val="Arial"/>
            <family val="2"/>
          </rPr>
          <t>• Kardiovaskulär påverkan vid maligniteter:
    – Kardiotoxicitet vid farmakologisk tumörbehandling.</t>
        </r>
      </text>
    </comment>
    <comment ref="C39" authorId="0" shapeId="0" xr:uid="{00000000-0006-0000-0600-00000C000000}">
      <text>
        <r>
          <rPr>
            <b/>
            <sz val="9"/>
            <color rgb="FF1F4E79"/>
            <rFont val="Arial"/>
            <family val="2"/>
          </rPr>
          <t xml:space="preserve">Bygger på SvKF 2022 – egen formulering/konkretisering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i/>
            <sz val="8"/>
            <color rgb="FF595959"/>
            <rFont val="Arial"/>
            <family val="2"/>
          </rPr>
          <t xml:space="preserve">Läkemedelsexemplen är tillagda.
</t>
        </r>
        <r>
          <rPr>
            <b/>
            <sz val="9"/>
            <color rgb="FF1B3A5C"/>
            <rFont val="Arial"/>
            <family val="2"/>
          </rPr>
          <t xml:space="preserve">
Klinisk farmakologi · s. 19 · Socialstyrelsens mål: ingår i de flesta c-målen
</t>
        </r>
        <r>
          <rPr>
            <sz val="9"/>
            <color rgb="FF000000"/>
            <rFont val="Arial"/>
            <family val="2"/>
          </rPr>
          <t>• Indikationer/kontraindikationer, farmakokinetik, verkningsmekanismer, vanliga och/eller allvarliga interaktioner, biverkningar och toxiska effekter för kardiovaskulära läkemedel, med fokus på följande grupper:
    – Antikoagulantia.</t>
        </r>
      </text>
    </comment>
    <comment ref="C40" authorId="0" shapeId="0" xr:uid="{00000000-0006-0000-0600-00000D000000}">
      <text>
        <r>
          <rPr>
            <b/>
            <sz val="9"/>
            <color rgb="FF1F4E79"/>
            <rFont val="Arial"/>
            <family val="2"/>
          </rPr>
          <t xml:space="preserve">Bygger på SvKF 2022 – egen formulering/konkretisering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Arytmier och synkope › Bradykardier och device · s. 12 · Socialstyrelsens mål: STc6, STc9
</t>
        </r>
        <r>
          <rPr>
            <sz val="9"/>
            <color rgb="FF000000"/>
            <rFont val="Arial"/>
            <family val="2"/>
          </rPr>
          <t>• Indikationer för permanent pacemakerbehandling samt olika pacemakersystem (inklusive CRT och ICD).</t>
        </r>
      </text>
    </comment>
    <comment ref="C41" authorId="0" shapeId="0" xr:uid="{00000000-0006-0000-0600-00000E000000}">
      <text>
        <r>
          <rPr>
            <b/>
            <sz val="9"/>
            <color rgb="FF1F4E79"/>
            <rFont val="Arial"/>
            <family val="2"/>
          </rPr>
          <t xml:space="preserve">Bygger på SvKF 2022 – egen formulering/konkretisering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Arytmier och synkope › Ärftliga arytmisjukdomar · s. 13 · Socialstyrelsens mål: STc6, STc9
</t>
        </r>
        <r>
          <rPr>
            <sz val="9"/>
            <color rgb="FF000000"/>
            <rFont val="Arial"/>
            <family val="2"/>
          </rPr>
          <t xml:space="preserve">• Epidemiologi, symtom, riskvärdering, diagnostiska kriterier samt behandling vid ärftliga arytmisjukdomar såsom ARVC, Brugadas sjukdom, långt QT-syndrom, kort QT-syndrom samt katekolaminerg polymorf VT.
</t>
        </r>
        <r>
          <rPr>
            <b/>
            <sz val="9"/>
            <color rgb="FF1B3A5C"/>
            <rFont val="Arial"/>
            <family val="2"/>
          </rPr>
          <t xml:space="preserve">
Genetik vid hjärtsjukdom · s. 16 · Socialstyrelsens mål: STc10
</t>
        </r>
        <r>
          <rPr>
            <sz val="9"/>
            <color rgb="FF000000"/>
            <rFont val="Arial"/>
            <family val="2"/>
          </rPr>
          <t>• Klassifikation, epidemiologi, patofysiologi, symtom, differentialdiagnoser, undersökningsmetoder, behandling och prognos för ärftliga kardiovaskulära sjukdomar med särskilt fokus på kardiomyopatier, arytmier, aortopatier och dyslipidemier. Exempelvis:
    – Långt QT-syndrom (LQTS).
    – Brugada syndrom.
    – Katekolaminerg polymorf VT.</t>
        </r>
      </text>
    </comment>
    <comment ref="C42" authorId="0" shapeId="0" xr:uid="{00000000-0006-0000-0600-00000F000000}">
      <text>
        <r>
          <rPr>
            <b/>
            <sz val="9"/>
            <color rgb="FF1F4E79"/>
            <rFont val="Arial"/>
            <family val="2"/>
          </rPr>
          <t xml:space="preserve">Bygger på SvKF 2022 – egen formulering/konkretisering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Genetik vid hjärtsjukdom · s. 16 · Socialstyrelsens mål: STc10
</t>
        </r>
        <r>
          <rPr>
            <sz val="9"/>
            <color rgb="FF000000"/>
            <rFont val="Arial"/>
            <family val="2"/>
          </rPr>
          <t xml:space="preserve">• Klassifikation, epidemiologi, patofysiologi, symtom, differentialdiagnoser, undersökningsmetoder, behandling och prognos för ärftliga kardiovaskulära sjukdomar med särskilt fokus på kardiomyopatier, arytmier, aortopatier och dyslipidemier. Exempelvis:
    – Hypertrof kardiomyopati.
    – Dilaterad kardiomyopati.
    – Arytmogen Kardiomyopati (ARVC).
    – Amyloidos.
</t>
        </r>
        <r>
          <rPr>
            <b/>
            <sz val="9"/>
            <color rgb="FF1B3A5C"/>
            <rFont val="Arial"/>
            <family val="2"/>
          </rPr>
          <t xml:space="preserve">
Hjärtsvikt, kardiomyopatier och pulmonell hypertension · s. 10 · Socialstyrelsens mål: STc8
</t>
        </r>
        <r>
          <rPr>
            <sz val="9"/>
            <color rgb="FF000000"/>
            <rFont val="Arial"/>
            <family val="2"/>
          </rPr>
          <t>• Olika typer av kardiomyopatier.
• Hjärtsarkoidos.</t>
        </r>
      </text>
    </comment>
    <comment ref="C44" authorId="0" shapeId="0" xr:uid="{00000000-0006-0000-0600-000010000000}">
      <text>
        <r>
          <rPr>
            <b/>
            <sz val="9"/>
            <color rgb="FF2E7D32"/>
            <rFont val="Arial"/>
            <family val="2"/>
          </rPr>
          <t xml:space="preserve">Ordagrant / nära ordagrant ur SvKF 2022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i/>
            <sz val="8"/>
            <color rgb="FF595959"/>
            <rFont val="Arial"/>
            <family val="2"/>
          </rPr>
          <t xml:space="preserve">Exemplen i parentes är tillagda.
</t>
        </r>
        <r>
          <rPr>
            <b/>
            <sz val="9"/>
            <color rgb="FF1B3A5C"/>
            <rFont val="Arial"/>
            <family val="2"/>
          </rPr>
          <t xml:space="preserve">
Arytmier och synkope · s. 11 · Socialstyrelsens mål: STc6, STc9
</t>
        </r>
        <r>
          <rPr>
            <sz val="9"/>
            <color rgb="FF000000"/>
            <rFont val="Arial"/>
            <family val="2"/>
          </rPr>
          <t xml:space="preserve">• Utförande och tolkning av EKG (inklusive olika typer av långtidsregistrering).
</t>
        </r>
        <r>
          <rPr>
            <b/>
            <sz val="9"/>
            <color rgb="FF1B3A5C"/>
            <rFont val="Arial"/>
            <family val="2"/>
          </rPr>
          <t xml:space="preserve">
Arytmier och synkope › Takykardier · s. 11 · Socialstyrelsens mål: STc6, STc9
</t>
        </r>
        <r>
          <rPr>
            <sz val="9"/>
            <color rgb="FF000000"/>
            <rFont val="Arial"/>
            <family val="2"/>
          </rPr>
          <t xml:space="preserve">• Genomförande och tolkning av esofagus-EKG.
</t>
        </r>
        <r>
          <rPr>
            <b/>
            <sz val="9"/>
            <color rgb="FF1B3A5C"/>
            <rFont val="Arial"/>
            <family val="2"/>
          </rPr>
          <t xml:space="preserve">
Rekommendationslista – kompetensnivåer för färdigheter · s. 23
</t>
        </r>
        <r>
          <rPr>
            <sz val="9"/>
            <color rgb="FF000000"/>
            <rFont val="Arial"/>
            <family val="2"/>
          </rPr>
          <t>• Tolkning av 12-avlednings EKG — nivå Sverige: 5, ESC: 5
• Tolka långtidsregistrering EKG (Holter, event-recorder, vektor m fl) — nivå Sverige: 5, ESC: 5
• Esofagus-EKG — nivå Sverige: 5, ESC: 4</t>
        </r>
      </text>
    </comment>
    <comment ref="C45" authorId="0" shapeId="0" xr:uid="{00000000-0006-0000-0600-000011000000}">
      <text>
        <r>
          <rPr>
            <b/>
            <sz val="9"/>
            <color rgb="FF2E7D32"/>
            <rFont val="Arial"/>
            <family val="2"/>
          </rPr>
          <t xml:space="preserve">Ordagrant / nära ordagrant ur SvKF 2022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Arytmier och synkope › Takykardier · s. 11 · Socialstyrelsens mål: STc6, STc9
</t>
        </r>
        <r>
          <rPr>
            <sz val="9"/>
            <color rgb="FF000000"/>
            <rFont val="Arial"/>
            <family val="2"/>
          </rPr>
          <t xml:space="preserve">• Utredning, prognostisering och farmakologisk behandling av ventrikulära extraslag
</t>
        </r>
        <r>
          <rPr>
            <b/>
            <sz val="9"/>
            <color rgb="FF1B3A5C"/>
            <rFont val="Arial"/>
            <family val="2"/>
          </rPr>
          <t xml:space="preserve">
Arytmier och synkope · s. 11 · Socialstyrelsens mål: STc6, STc9
</t>
        </r>
        <r>
          <rPr>
            <sz val="9"/>
            <color rgb="FF000000"/>
            <rFont val="Arial"/>
            <family val="2"/>
          </rPr>
          <t>• Klassifikation, epidemiologi, orsaker, patofysiologi, klinisk bild, differentialdiagnoser, diagnostik, behandling och prognos vid supraventrikulära och ventrikulära takyarytmier, bradykardier samt synkope.</t>
        </r>
      </text>
    </comment>
    <comment ref="C46" authorId="0" shapeId="0" xr:uid="{00000000-0006-0000-0600-000012000000}">
      <text>
        <r>
          <rPr>
            <b/>
            <sz val="9"/>
            <color rgb="FF1F4E79"/>
            <rFont val="Arial"/>
            <family val="2"/>
          </rPr>
          <t xml:space="preserve">Bygger på SvKF 2022 – egen formulering/konkretisering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Arytmier och synkope · s. 11 · Socialstyrelsens mål: STc6, STc9
</t>
        </r>
        <r>
          <rPr>
            <sz val="9"/>
            <color rgb="FF000000"/>
            <rFont val="Arial"/>
            <family val="2"/>
          </rPr>
          <t xml:space="preserve">• Klassifikation, epidemiologi, orsaker, patofysiologi, klinisk bild, differentialdiagnoser, diagnostik, behandling och prognos vid supraventrikulära och ventrikulära takyarytmier, bradykardier samt synkope.
</t>
        </r>
        <r>
          <rPr>
            <b/>
            <sz val="9"/>
            <color rgb="FF1B3A5C"/>
            <rFont val="Arial"/>
            <family val="2"/>
          </rPr>
          <t xml:space="preserve">
Arytmier och synkope › Förmaksflimmer/Förmaksfladder · s. 12 · Socialstyrelsens mål: STc6, STc9
</t>
        </r>
        <r>
          <rPr>
            <sz val="9"/>
            <color rgb="FF000000"/>
            <rFont val="Arial"/>
            <family val="2"/>
          </rPr>
          <t>• Epidemiologi, patofysiologi, symtomatologi, prognos och klassifikation.</t>
        </r>
      </text>
    </comment>
    <comment ref="C47" authorId="0" shapeId="0" xr:uid="{00000000-0006-0000-0600-000013000000}">
      <text>
        <r>
          <rPr>
            <b/>
            <sz val="9"/>
            <color rgb="FF1F4E79"/>
            <rFont val="Arial"/>
            <family val="2"/>
          </rPr>
          <t xml:space="preserve">Bygger på SvKF 2022 – egen formulering/konkretisering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i/>
            <sz val="8"/>
            <color rgb="FF595959"/>
            <rFont val="Arial"/>
            <family val="2"/>
          </rPr>
          <t xml:space="preserve">Kronotrop insufficiens nämns inte med namn i SvKF 2022.
</t>
        </r>
        <r>
          <rPr>
            <b/>
            <sz val="9"/>
            <color rgb="FF1B3A5C"/>
            <rFont val="Arial"/>
            <family val="2"/>
          </rPr>
          <t xml:space="preserve">
Noninvasiv bild- och funktionsdiagnostik › Utföra och tolka · s. 20 · Socialstyrelsens mål: STc7
</t>
        </r>
        <r>
          <rPr>
            <sz val="9"/>
            <color rgb="FF000000"/>
            <rFont val="Arial"/>
            <family val="2"/>
          </rPr>
          <t xml:space="preserve">• Arbetsprov.
</t>
        </r>
        <r>
          <rPr>
            <b/>
            <sz val="9"/>
            <color rgb="FF1B3A5C"/>
            <rFont val="Arial"/>
            <family val="2"/>
          </rPr>
          <t xml:space="preserve">
Arytmier och synkope · s. 11 · Socialstyrelsens mål: STc6, STc9
</t>
        </r>
        <r>
          <rPr>
            <sz val="9"/>
            <color rgb="FF000000"/>
            <rFont val="Arial"/>
            <family val="2"/>
          </rPr>
          <t>• Klassifikation, epidemiologi, orsaker, patofysiologi, klinisk bild, differentialdiagnoser, diagnostik, behandling och prognos vid supraventrikulära och ventrikulära takyarytmier, bradykardier samt synkope.</t>
        </r>
      </text>
    </comment>
    <comment ref="C48" authorId="0" shapeId="0" xr:uid="{00000000-0006-0000-0600-000014000000}">
      <text>
        <r>
          <rPr>
            <b/>
            <sz val="9"/>
            <color rgb="FF1F4E79"/>
            <rFont val="Arial"/>
            <family val="2"/>
          </rPr>
          <t xml:space="preserve">Bygger på SvKF 2022 – egen formulering/konkretisering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Arytmier och synkope · s. 11 · Socialstyrelsens mål: STc6, STc9
</t>
        </r>
        <r>
          <rPr>
            <sz val="9"/>
            <color rgb="FF000000"/>
            <rFont val="Arial"/>
            <family val="2"/>
          </rPr>
          <t>• Klassifikation, epidemiologi, orsaker, patofysiologi, klinisk bild, differentialdiagnoser, diagnostik, behandling och prognos vid supraventrikulära och ventrikulära takyarytmier, bradykardier samt synkope.
• Utförande och tolkning av EKG (inklusive olika typer av långtidsregistrering).</t>
        </r>
      </text>
    </comment>
    <comment ref="C49" authorId="0" shapeId="0" xr:uid="{00000000-0006-0000-0600-000015000000}">
      <text>
        <r>
          <rPr>
            <b/>
            <sz val="9"/>
            <color rgb="FF1F4E79"/>
            <rFont val="Arial"/>
            <family val="2"/>
          </rPr>
          <t xml:space="preserve">Bygger på SvKF 2022 – egen formulering/konkretisering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Arytmier och synkope · s. 11 · Socialstyrelsens mål: STc6, STc9
</t>
        </r>
        <r>
          <rPr>
            <sz val="9"/>
            <color rgb="FF000000"/>
            <rFont val="Arial"/>
            <family val="2"/>
          </rPr>
          <t xml:space="preserve">• Klassifikation, epidemiologi, orsaker, patofysiologi, klinisk bild, differentialdiagnoser, diagnostik, behandling och prognos vid supraventrikulära och ventrikulära takyarytmier, bradykardier samt synkope.
</t>
        </r>
        <r>
          <rPr>
            <b/>
            <sz val="9"/>
            <color rgb="FF1B3A5C"/>
            <rFont val="Arial"/>
            <family val="2"/>
          </rPr>
          <t xml:space="preserve">
Arytmier och synkope › Takykardier · s. 12 · Socialstyrelsens mål: STc6, STc9
</t>
        </r>
        <r>
          <rPr>
            <sz val="9"/>
            <color rgb="FF000000"/>
            <rFont val="Arial"/>
            <family val="2"/>
          </rPr>
          <t>• Indikationer, komplikationer och prognos vid elektrofysiologisk undersökning och ablationsbehandling vid supraventrikulär takykardi.</t>
        </r>
      </text>
    </comment>
    <comment ref="C50" authorId="0" shapeId="0" xr:uid="{00000000-0006-0000-0600-000016000000}">
      <text>
        <r>
          <rPr>
            <b/>
            <sz val="9"/>
            <color rgb="FF2E7D32"/>
            <rFont val="Arial"/>
            <family val="2"/>
          </rPr>
          <t xml:space="preserve">Ordagrant / nära ordagrant ur SvKF 2022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Arytmier och synkope › Synkope · s. 12 · Socialstyrelsens mål: STc6, STc9
</t>
        </r>
        <r>
          <rPr>
            <sz val="9"/>
            <color rgb="FF000000"/>
            <rFont val="Arial"/>
            <family val="2"/>
          </rPr>
          <t>• Strukturerad utredning.</t>
        </r>
      </text>
    </comment>
    <comment ref="C51" authorId="0" shapeId="0" xr:uid="{00000000-0006-0000-0600-000017000000}">
      <text>
        <r>
          <rPr>
            <b/>
            <sz val="9"/>
            <color rgb="FF2E7D32"/>
            <rFont val="Arial"/>
            <family val="2"/>
          </rPr>
          <t xml:space="preserve">Ordagrant / nära ordagrant ur SvKF 2022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Arytmier och synkope › Bradykardier och device · s. 12 · Socialstyrelsens mål: STc6, STc9
</t>
        </r>
        <r>
          <rPr>
            <sz val="9"/>
            <color rgb="FF000000"/>
            <rFont val="Arial"/>
            <family val="2"/>
          </rPr>
          <t>• Indikation för och utredning med Implantable loop recorder (ILR).</t>
        </r>
      </text>
    </comment>
    <comment ref="C52" authorId="0" shapeId="0" xr:uid="{00000000-0006-0000-0600-000018000000}">
      <text>
        <r>
          <rPr>
            <b/>
            <sz val="9"/>
            <color rgb="FF1F4E79"/>
            <rFont val="Arial"/>
            <family val="2"/>
          </rPr>
          <t xml:space="preserve">Bygger på SvKF 2022 – egen formulering/konkretisering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i/>
            <sz val="8"/>
            <color rgb="FF595959"/>
            <rFont val="Arial"/>
            <family val="2"/>
          </rPr>
          <t xml:space="preserve">TILT och carotissinusmassage nämns inte med namn i SvKF 2022; de ingår i den strukturerade synkopeutredningen.
</t>
        </r>
        <r>
          <rPr>
            <b/>
            <sz val="9"/>
            <color rgb="FF1B3A5C"/>
            <rFont val="Arial"/>
            <family val="2"/>
          </rPr>
          <t xml:space="preserve">
Arytmier och synkope › Synkope · s. 12 · Socialstyrelsens mål: STc6, STc9
</t>
        </r>
        <r>
          <rPr>
            <sz val="9"/>
            <color rgb="FF000000"/>
            <rFont val="Arial"/>
            <family val="2"/>
          </rPr>
          <t xml:space="preserve">• Strukturerad utredning.
• Riskbedömning av den enskilda patienten.
</t>
        </r>
        <r>
          <rPr>
            <b/>
            <sz val="9"/>
            <color rgb="FF1B3A5C"/>
            <rFont val="Arial"/>
            <family val="2"/>
          </rPr>
          <t xml:space="preserve">
Arytmier och synkope · s. 11 · Socialstyrelsens mål: STc6, STc9
</t>
        </r>
        <r>
          <rPr>
            <sz val="9"/>
            <color rgb="FF000000"/>
            <rFont val="Arial"/>
            <family val="2"/>
          </rPr>
          <t>• Klassifikation, epidemiologi, orsaker, patofysiologi, klinisk bild, differentialdiagnoser, diagnostik, behandling och prognos vid supraventrikulära och ventrikulära takyarytmier, bradykardier samt synkope.</t>
        </r>
      </text>
    </comment>
    <comment ref="C53" authorId="0" shapeId="0" xr:uid="{00000000-0006-0000-0600-000019000000}">
      <text>
        <r>
          <rPr>
            <b/>
            <sz val="9"/>
            <color rgb="FF2E7D32"/>
            <rFont val="Arial"/>
            <family val="2"/>
          </rPr>
          <t xml:space="preserve">Ordagrant / nära ordagrant ur SvKF 2022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i/>
            <sz val="8"/>
            <color rgb="FF595959"/>
            <rFont val="Arial"/>
            <family val="2"/>
          </rPr>
          <t xml:space="preserve">Exemplen är tillagda.
</t>
        </r>
        <r>
          <rPr>
            <b/>
            <sz val="9"/>
            <color rgb="FF1B3A5C"/>
            <rFont val="Arial"/>
            <family val="2"/>
          </rPr>
          <t xml:space="preserve">
Arytmier och synkope › Bradykardier och device · s. 12 · Socialstyrelsens mål: STc6, STc9
</t>
        </r>
        <r>
          <rPr>
            <sz val="9"/>
            <color rgb="FF000000"/>
            <rFont val="Arial"/>
            <family val="2"/>
          </rPr>
          <t>• Identifiering och initial handläggning av icke-kirurgiska komplikationer till device behandling (exempelvis pacemaker medierad takykardi, pacing inducerad kardiomyopati).
• Handläggning av komplikationer till pacemakerkirurgi.</t>
        </r>
      </text>
    </comment>
    <comment ref="C54" authorId="0" shapeId="0" xr:uid="{00000000-0006-0000-0600-00001A000000}">
      <text>
        <r>
          <rPr>
            <b/>
            <sz val="9"/>
            <color rgb="FF2E7D32"/>
            <rFont val="Arial"/>
            <family val="2"/>
          </rPr>
          <t xml:space="preserve">Ordagrant / nära ordagrant ur SvKF 2022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i/>
            <sz val="8"/>
            <color rgb="FF595959"/>
            <rFont val="Arial"/>
            <family val="2"/>
          </rPr>
          <t xml:space="preserve">Exemplen är tillagda.
</t>
        </r>
        <r>
          <rPr>
            <b/>
            <sz val="9"/>
            <color rgb="FF1B3A5C"/>
            <rFont val="Arial"/>
            <family val="2"/>
          </rPr>
          <t xml:space="preserve">
Arytmier och synkope › Takykardier · s. 12 · Socialstyrelsens mål: STc6, STc9
</t>
        </r>
        <r>
          <rPr>
            <sz val="9"/>
            <color rgb="FF000000"/>
            <rFont val="Arial"/>
            <family val="2"/>
          </rPr>
          <t xml:space="preserve">• Handläggning av komplikationer till invasiva ingrepp.
</t>
        </r>
        <r>
          <rPr>
            <b/>
            <sz val="9"/>
            <color rgb="FF1B3A5C"/>
            <rFont val="Arial"/>
            <family val="2"/>
          </rPr>
          <t xml:space="preserve">
Arytmier och synkope › Förmaksflimmer/Förmaksfladder · s. 12 · Socialstyrelsens mål: STc6, STc9
</t>
        </r>
        <r>
          <rPr>
            <sz val="9"/>
            <color rgb="FF000000"/>
            <rFont val="Arial"/>
            <family val="2"/>
          </rPr>
          <t>• Handläggning av komplikationer till invasiva ingrepp.</t>
        </r>
      </text>
    </comment>
    <comment ref="C55" authorId="0" shapeId="0" xr:uid="{00000000-0006-0000-0600-00001B000000}">
      <text>
        <r>
          <rPr>
            <b/>
            <sz val="9"/>
            <color rgb="FF1F4E79"/>
            <rFont val="Arial"/>
            <family val="2"/>
          </rPr>
          <t xml:space="preserve">Bygger på SvKF 2022 – egen formulering/konkretisering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Noninvasiv bild- och funktionsdiagnostik › Allmänt · s. 20 · Socialstyrelsens mål: STc7
</t>
        </r>
        <r>
          <rPr>
            <sz val="9"/>
            <color rgb="FF000000"/>
            <rFont val="Arial"/>
            <family val="2"/>
          </rPr>
          <t xml:space="preserve">• Indikationer, kontraindikationer, styrkor och begränsningar, samt komplikationer till noninvasiva undersökningar.
</t>
        </r>
        <r>
          <rPr>
            <b/>
            <sz val="9"/>
            <color rgb="FF1B3A5C"/>
            <rFont val="Arial"/>
            <family val="2"/>
          </rPr>
          <t xml:space="preserve">
Noninvasiv bild- och funktionsdiagnostik › Utföra och tolka · s. 20 · Socialstyrelsens mål: STc7
</t>
        </r>
        <r>
          <rPr>
            <sz val="9"/>
            <color rgb="FF000000"/>
            <rFont val="Arial"/>
            <family val="2"/>
          </rPr>
          <t xml:space="preserve">• Transthorakal ekokardiografi (TTE).
</t>
        </r>
        <r>
          <rPr>
            <b/>
            <sz val="9"/>
            <color rgb="FF1B3A5C"/>
            <rFont val="Arial"/>
            <family val="2"/>
          </rPr>
          <t xml:space="preserve">
Noninvasiv bild- och funktionsdiagnostik › Grundläggande bildtolkning · s. 20 · Socialstyrelsens mål: STc7
</t>
        </r>
        <r>
          <rPr>
            <sz val="9"/>
            <color rgb="FF000000"/>
            <rFont val="Arial"/>
            <family val="2"/>
          </rPr>
          <t>• Magnetresonanstomografi (MR)
• Datortomografi (DT), inklusive koronar kalciumscore och FFR (fractional flow reserve)</t>
        </r>
      </text>
    </comment>
    <comment ref="C56" authorId="0" shapeId="0" xr:uid="{00000000-0006-0000-0600-00001C000000}">
      <text>
        <r>
          <rPr>
            <b/>
            <sz val="9"/>
            <color rgb="FF1F4E79"/>
            <rFont val="Arial"/>
            <family val="2"/>
          </rPr>
          <t xml:space="preserve">Bygger på SvKF 2022 – egen formulering/konkretisering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Arytmier och synkope › Ärftliga arytmisjukdomar · s. 13 · Socialstyrelsens mål: STc6, STc9
</t>
        </r>
        <r>
          <rPr>
            <sz val="9"/>
            <color rgb="FF000000"/>
            <rFont val="Arial"/>
            <family val="2"/>
          </rPr>
          <t xml:space="preserve">• Epidemiologi, symtom, riskvärdering, diagnostiska kriterier samt behandling vid ärftliga arytmisjukdomar såsom ARVC, Brugadas sjukdom, långt QT-syndrom, kort QT-syndrom samt katekolaminerg polymorf VT.
</t>
        </r>
        <r>
          <rPr>
            <b/>
            <sz val="9"/>
            <color rgb="FF1B3A5C"/>
            <rFont val="Arial"/>
            <family val="2"/>
          </rPr>
          <t xml:space="preserve">
Genetik vid hjärtsjukdom · s. 17 · Socialstyrelsens mål: STc10
</t>
        </r>
        <r>
          <rPr>
            <sz val="9"/>
            <color rgb="FF000000"/>
            <rFont val="Arial"/>
            <family val="2"/>
          </rPr>
          <t>• Identifiera patienter som bör remitteras till klinisk genetisk enhet för diagnostik och specialiserad genetisk vägledning.
• Identifiera och ge basal vägledning till familjemedlemmar som löper risk att vara bärare av kardiovaskulära sjukdomsanlag samt screening med medvetenhet om de speciella etiska problem genetiska sjukdomar kan medföra.</t>
        </r>
      </text>
    </comment>
    <comment ref="C58" authorId="0" shapeId="0" xr:uid="{00000000-0006-0000-0600-00001D000000}">
      <text>
        <r>
          <rPr>
            <b/>
            <sz val="9"/>
            <color rgb="FF2E7D32"/>
            <rFont val="Arial"/>
            <family val="2"/>
          </rPr>
          <t xml:space="preserve">Ordagrant / nära ordagrant ur SvKF 2022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i/>
            <sz val="8"/>
            <color rgb="FF595959"/>
            <rFont val="Arial"/>
            <family val="2"/>
          </rPr>
          <t xml:space="preserve">Exemplen i parentes är tillagda.
</t>
        </r>
        <r>
          <rPr>
            <b/>
            <sz val="9"/>
            <color rgb="FF1B3A5C"/>
            <rFont val="Arial"/>
            <family val="2"/>
          </rPr>
          <t xml:space="preserve">
Arytmier och synkope › Förmaksflimmer/Förmaksfladder · s. 12 · Socialstyrelsens mål: STc6, STc9
</t>
        </r>
        <r>
          <rPr>
            <sz val="9"/>
            <color rgb="FF000000"/>
            <rFont val="Arial"/>
            <family val="2"/>
          </rPr>
          <t>• Betydelsen av samsjuklighet för sjukdomen och dess behandling.
• Riskstratifiering och val av adekvat emboliprofylax samt värdering av blödningsrisk.</t>
        </r>
      </text>
    </comment>
    <comment ref="C59" authorId="0" shapeId="0" xr:uid="{00000000-0006-0000-0600-00001E000000}">
      <text>
        <r>
          <rPr>
            <b/>
            <sz val="9"/>
            <color rgb="FF1F4E79"/>
            <rFont val="Arial"/>
            <family val="2"/>
          </rPr>
          <t xml:space="preserve">Bygger på SvKF 2022 – egen formulering/konkretisering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i/>
            <sz val="8"/>
            <color rgb="FF595959"/>
            <rFont val="Arial"/>
            <family val="2"/>
          </rPr>
          <t xml:space="preserve">SvKF anger detta under förmaksflimmer/förmaksfladder; här breddat till arytmier generellt.
</t>
        </r>
        <r>
          <rPr>
            <b/>
            <sz val="9"/>
            <color rgb="FF1B3A5C"/>
            <rFont val="Arial"/>
            <family val="2"/>
          </rPr>
          <t xml:space="preserve">
Arytmier och synkope › Förmaksflimmer/Förmaksfladder · s. 12 · Socialstyrelsens mål: STc6, STc9
</t>
        </r>
        <r>
          <rPr>
            <sz val="9"/>
            <color rgb="FF000000"/>
            <rFont val="Arial"/>
            <family val="2"/>
          </rPr>
          <t>• Betydelsen av samsjuklighet för sjukdomen och dess behandling.</t>
        </r>
      </text>
    </comment>
    <comment ref="C60" authorId="0" shapeId="0" xr:uid="{00000000-0006-0000-0600-00001F000000}">
      <text>
        <r>
          <rPr>
            <b/>
            <sz val="9"/>
            <color rgb="FF1F4E79"/>
            <rFont val="Arial"/>
            <family val="2"/>
          </rPr>
          <t xml:space="preserve">Bygger på SvKF 2022 – egen formulering/konkretisering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Arytmier och synkope › Synkope · s. 12 · Socialstyrelsens mål: STc6, STc9
</t>
        </r>
        <r>
          <rPr>
            <sz val="9"/>
            <color rgb="FF000000"/>
            <rFont val="Arial"/>
            <family val="2"/>
          </rPr>
          <t xml:space="preserve">• Riskbedömning av den enskilda patienten.
</t>
        </r>
        <r>
          <rPr>
            <b/>
            <sz val="9"/>
            <color rgb="FF1B3A5C"/>
            <rFont val="Arial"/>
            <family val="2"/>
          </rPr>
          <t xml:space="preserve">
Arytmier och synkope · s. 11 · Socialstyrelsens mål: STc6, STc9
</t>
        </r>
        <r>
          <rPr>
            <sz val="9"/>
            <color rgb="FF000000"/>
            <rFont val="Arial"/>
            <family val="2"/>
          </rPr>
          <t>• Klassifikation, epidemiologi, orsaker, patofysiologi, klinisk bild, differentialdiagnoser, diagnostik, behandling och prognos vid supraventrikulära och ventrikulära takyarytmier, bradykardier samt synkope.</t>
        </r>
      </text>
    </comment>
    <comment ref="C61" authorId="0" shapeId="0" xr:uid="{00000000-0006-0000-0600-000020000000}">
      <text>
        <r>
          <rPr>
            <b/>
            <sz val="9"/>
            <color rgb="FF1F4E79"/>
            <rFont val="Arial"/>
            <family val="2"/>
          </rPr>
          <t xml:space="preserve">Bygger på SvKF 2022 – egen formulering/konkretisering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Arytmier och synkope › Takykardier · s. 11 · Socialstyrelsens mål: STc6, STc9
</t>
        </r>
        <r>
          <rPr>
            <sz val="9"/>
            <color rgb="FF000000"/>
            <rFont val="Arial"/>
            <family val="2"/>
          </rPr>
          <t xml:space="preserve">• Indikationer och komplikationer vid ICD-behandling samt genomföra avläsning med programmerare.
</t>
        </r>
        <r>
          <rPr>
            <b/>
            <sz val="9"/>
            <color rgb="FF1B3A5C"/>
            <rFont val="Arial"/>
            <family val="2"/>
          </rPr>
          <t xml:space="preserve">
Arytmier och synkope › Bradykardier och device · s. 12 · Socialstyrelsens mål: STc6, STc9
</t>
        </r>
        <r>
          <rPr>
            <sz val="9"/>
            <color rgb="FF000000"/>
            <rFont val="Arial"/>
            <family val="2"/>
          </rPr>
          <t>• Indikationer för permanent pacemakerbehandling samt olika pacemakersystem (inklusive CRT och ICD).</t>
        </r>
      </text>
    </comment>
    <comment ref="C62" authorId="0" shapeId="0" xr:uid="{00000000-0006-0000-0600-000021000000}">
      <text>
        <r>
          <rPr>
            <b/>
            <sz val="9"/>
            <color rgb="FF1F4E79"/>
            <rFont val="Arial"/>
            <family val="2"/>
          </rPr>
          <t xml:space="preserve">Bygger på SvKF 2022 – egen formulering/konkretisering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Arytmier och synkope › Ärftliga arytmisjukdomar · s. 13 · Socialstyrelsens mål: STc6, STc9
</t>
        </r>
        <r>
          <rPr>
            <sz val="9"/>
            <color rgb="FF000000"/>
            <rFont val="Arial"/>
            <family val="2"/>
          </rPr>
          <t xml:space="preserve">• Epidemiologi, symtom, riskvärdering, diagnostiska kriterier samt behandling vid ärftliga arytmisjukdomar såsom ARVC, Brugadas sjukdom, långt QT-syndrom, kort QT-syndrom samt katekolaminerg polymorf VT.
</t>
        </r>
        <r>
          <rPr>
            <b/>
            <sz val="9"/>
            <color rgb="FF1B3A5C"/>
            <rFont val="Arial"/>
            <family val="2"/>
          </rPr>
          <t xml:space="preserve">
Arytmier och synkope · s. 11 · Socialstyrelsens mål: STc6, STc9
</t>
        </r>
        <r>
          <rPr>
            <sz val="9"/>
            <color rgb="FF000000"/>
            <rFont val="Arial"/>
            <family val="2"/>
          </rPr>
          <t xml:space="preserve">• Klassifikation, epidemiologi, orsaker, patofysiologi, klinisk bild, differentialdiagnoser, diagnostik, behandling och prognos vid supraventrikulära och ventrikulära takyarytmier, bradykardier samt synkope.
</t>
        </r>
        <r>
          <rPr>
            <b/>
            <sz val="9"/>
            <color rgb="FF1B3A5C"/>
            <rFont val="Arial"/>
            <family val="2"/>
          </rPr>
          <t xml:space="preserve">
Arytmier och synkope › Takykardier · s. 11 · Socialstyrelsens mål: STc6, STc9
</t>
        </r>
        <r>
          <rPr>
            <sz val="9"/>
            <color rgb="FF000000"/>
            <rFont val="Arial"/>
            <family val="2"/>
          </rPr>
          <t xml:space="preserve">• Indikationer och komplikationer vid ICD-behandling samt genomföra avläsning med programmerare.
</t>
        </r>
        <r>
          <rPr>
            <b/>
            <sz val="9"/>
            <color rgb="FF1B3A5C"/>
            <rFont val="Arial"/>
            <family val="2"/>
          </rPr>
          <t xml:space="preserve">
Genetik vid hjärtsjukdom · s. 16 · Socialstyrelsens mål: STc10
</t>
        </r>
        <r>
          <rPr>
            <sz val="9"/>
            <color rgb="FF000000"/>
            <rFont val="Arial"/>
            <family val="2"/>
          </rPr>
          <t xml:space="preserve">• Klassifikation, epidemiologi, patofysiologi, symtom, differentialdiagnoser, undersökningsmetoder, behandling och prognos för ärftliga kardiovaskulära sjukdomar med särskilt fokus på kardiomyopatier, arytmier, aortopatier och dyslipidemier. Exempelvis:
    – Hypertrof kardiomyopati.
    – Dilaterad kardiomyopati.
    – Arytmogen Kardiomyopati (ARVC).
</t>
        </r>
        <r>
          <rPr>
            <b/>
            <sz val="9"/>
            <color rgb="FF1B3A5C"/>
            <rFont val="Arial"/>
            <family val="2"/>
          </rPr>
          <t xml:space="preserve">
Idrottskardiologi · s. 19 · Socialstyrelsens mål: STc9, STc10, STc12
</t>
        </r>
        <r>
          <rPr>
            <sz val="9"/>
            <color rgb="FF000000"/>
            <rFont val="Arial"/>
            <family val="2"/>
          </rPr>
          <t>• Screening för att identifiera personer med hög risk för plötslig död vid fysisk aktivitet.</t>
        </r>
      </text>
    </comment>
    <comment ref="C64" authorId="0" shapeId="0" xr:uid="{00000000-0006-0000-0600-000022000000}">
      <text>
        <r>
          <rPr>
            <b/>
            <sz val="9"/>
            <color rgb="FF2E7D32"/>
            <rFont val="Arial"/>
            <family val="2"/>
          </rPr>
          <t xml:space="preserve">Ordagrant / nära ordagrant ur SvKF 2022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Arytmier och synkope › Förmaksflimmer/Förmaksfladder · s. 12 · Socialstyrelsens mål: STc6, STc9
</t>
        </r>
        <r>
          <rPr>
            <sz val="9"/>
            <color rgb="FF000000"/>
            <rFont val="Arial"/>
            <family val="2"/>
          </rPr>
          <t>• Rytmreglerande och frekvensreglerande läkemedelsbehandling.
• Farmakologisk konvertering och elkonvertering.
• Indikationer, kontraindikationer, komplikationer och prognos för invasiva behandlingsmetoder såsom kateterablation och kirurgi inklusive ocklusion av förmaksörat.</t>
        </r>
      </text>
    </comment>
    <comment ref="C65" authorId="0" shapeId="0" xr:uid="{00000000-0006-0000-0600-000023000000}">
      <text>
        <r>
          <rPr>
            <b/>
            <sz val="9"/>
            <color rgb="FF1F4E79"/>
            <rFont val="Arial"/>
            <family val="2"/>
          </rPr>
          <t xml:space="preserve">Bygger på SvKF 2022 – egen formulering/konkretisering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Arytmier och synkope › Förmaksflimmer/Förmaksfladder · s. 12 · Socialstyrelsens mål: STc6, STc9
</t>
        </r>
        <r>
          <rPr>
            <sz val="9"/>
            <color rgb="FF000000"/>
            <rFont val="Arial"/>
            <family val="2"/>
          </rPr>
          <t xml:space="preserve">• Riskstratifiering och val av adekvat emboliprofylax samt värdering av blödningsrisk.
</t>
        </r>
        <r>
          <rPr>
            <b/>
            <sz val="9"/>
            <color rgb="FF1B3A5C"/>
            <rFont val="Arial"/>
            <family val="2"/>
          </rPr>
          <t xml:space="preserve">
Klinisk farmakologi · s. 19 · Socialstyrelsens mål: ingår i de flesta c-målen
</t>
        </r>
        <r>
          <rPr>
            <sz val="9"/>
            <color rgb="FF000000"/>
            <rFont val="Arial"/>
            <family val="2"/>
          </rPr>
          <t xml:space="preserve">• Indikationer/kontraindikationer, farmakokinetik, verkningsmekanismer, vanliga och/eller allvarliga interaktioner, biverkningar och toxiska effekter för kardiovaskulära läkemedel, med fokus på följande grupper:
    – Antikoagulantia.
• Individualiserad läkemedelsbehandling.
</t>
        </r>
        <r>
          <rPr>
            <b/>
            <sz val="9"/>
            <color rgb="FF1B3A5C"/>
            <rFont val="Arial"/>
            <family val="2"/>
          </rPr>
          <t xml:space="preserve">
Preoperativ bedömning · s. 22 · Socialstyrelsens mål: specifikt mål saknas
</t>
        </r>
        <r>
          <rPr>
            <sz val="9"/>
            <color rgb="FF000000"/>
            <rFont val="Arial"/>
            <family val="2"/>
          </rPr>
          <t>• Värdera optimalt tidsfönster för uppehåll i antitrombotisk behandling vid kirurgi hos patienter med kardiovaskulär sjukdom.</t>
        </r>
      </text>
    </comment>
    <comment ref="C66" authorId="0" shapeId="0" xr:uid="{00000000-0006-0000-0600-000024000000}">
      <text>
        <r>
          <rPr>
            <b/>
            <sz val="9"/>
            <color rgb="FF1F4E79"/>
            <rFont val="Arial"/>
            <family val="2"/>
          </rPr>
          <t xml:space="preserve">Bygger på SvKF 2022 – egen formulering/konkretisering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Arytmier och synkope › Takykardier · s. 11–12 · Socialstyrelsens mål: STc6, STc9
</t>
        </r>
        <r>
          <rPr>
            <sz val="9"/>
            <color rgb="FF000000"/>
            <rFont val="Arial"/>
            <family val="2"/>
          </rPr>
          <t>• Antiarytmisk läkemedelsbehandling (inklusive proarytmier) av supraventrikulära och ventrikulära takykardier.
• Indikationer, komplikationer och prognos vid elektrofysiologisk undersökning och ablationsbehandling vid supraventrikulär takykardi.</t>
        </r>
      </text>
    </comment>
    <comment ref="C67" authorId="0" shapeId="0" xr:uid="{00000000-0006-0000-0600-000025000000}">
      <text>
        <r>
          <rPr>
            <b/>
            <sz val="9"/>
            <color rgb="FF2E7D32"/>
            <rFont val="Arial"/>
            <family val="2"/>
          </rPr>
          <t xml:space="preserve">Ordagrant / nära ordagrant ur SvKF 2022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Arytmier och synkope › Takykardier · s. 11–12 · Socialstyrelsens mål: STc6, STc9
</t>
        </r>
        <r>
          <rPr>
            <sz val="9"/>
            <color rgb="FF000000"/>
            <rFont val="Arial"/>
            <family val="2"/>
          </rPr>
          <t>• Antiarytmisk läkemedelsbehandling (inklusive proarytmier) av supraventrikulära och ventrikulära takykardier.
• Indikationer och komplikationer vid ICD-behandling samt genomföra avläsning med programmerare.
• Indikationer, kontraindikationer, komplikationer och prognos för invasiva behandlingsmetoder såsom kateterablation och kirurgi vid ventrikulära extraslag och ventrikulär takykardi.</t>
        </r>
      </text>
    </comment>
    <comment ref="C68" authorId="0" shapeId="0" xr:uid="{00000000-0006-0000-0600-000026000000}">
      <text>
        <r>
          <rPr>
            <b/>
            <sz val="9"/>
            <color rgb="FF1F4E79"/>
            <rFont val="Arial"/>
            <family val="2"/>
          </rPr>
          <t xml:space="preserve">Bygger på SvKF 2022 – egen formulering/konkretisering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Arytmier och synkope › Bradykardier och device · s. 12 · Socialstyrelsens mål: STc6, STc9
</t>
        </r>
        <r>
          <rPr>
            <sz val="9"/>
            <color rgb="FF000000"/>
            <rFont val="Arial"/>
            <family val="2"/>
          </rPr>
          <t>• Extern/transkutan pacemakerbehandling
• Etablera temporär transvenös pacemaker via befintlig access samt programmering.
• Indikationer för permanent pacemakerbehandling samt olika pacemakersystem (inklusive CRT och ICD).</t>
        </r>
      </text>
    </comment>
    <comment ref="C69" authorId="0" shapeId="0" xr:uid="{00000000-0006-0000-0600-000027000000}">
      <text>
        <r>
          <rPr>
            <b/>
            <sz val="9"/>
            <color rgb="FF2E7D32"/>
            <rFont val="Arial"/>
            <family val="2"/>
          </rPr>
          <t xml:space="preserve">Ordagrant / nära ordagrant ur SvKF 2022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Arytmier och synkope › Synkope · s. 12 · Socialstyrelsens mål: STc6, STc9
</t>
        </r>
        <r>
          <rPr>
            <sz val="9"/>
            <color rgb="FF000000"/>
            <rFont val="Arial"/>
            <family val="2"/>
          </rPr>
          <t>• Behandlingsalternativ inklusive farmakologisk och icke-farmakologisk behandling samt deviceterapi.</t>
        </r>
      </text>
    </comment>
    <comment ref="C70" authorId="0" shapeId="0" xr:uid="{00000000-0006-0000-0600-000028000000}">
      <text>
        <r>
          <rPr>
            <b/>
            <sz val="9"/>
            <color rgb="FF1F4E79"/>
            <rFont val="Arial"/>
            <family val="2"/>
          </rPr>
          <t xml:space="preserve">Bygger på SvKF 2022 – egen formulering/konkretisering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Arytmier och synkope › Bradykardier och device · s. 12 · Socialstyrelsens mål: STc6, STc9
</t>
        </r>
        <r>
          <rPr>
            <sz val="9"/>
            <color rgb="FF000000"/>
            <rFont val="Arial"/>
            <family val="2"/>
          </rPr>
          <t xml:space="preserve">• Indikationer för permanent pacemakerbehandling samt olika pacemakersystem (inklusive CRT och ICD).
• Identifiering och initial handläggning av icke-kirurgiska komplikationer till device behandling (exempelvis pacemaker medierad takykardi, pacing inducerad kardiomyopati).
• Handläggning av komplikationer till pacemakerkirurgi.
</t>
        </r>
        <r>
          <rPr>
            <b/>
            <sz val="9"/>
            <color rgb="FF1B3A5C"/>
            <rFont val="Arial"/>
            <family val="2"/>
          </rPr>
          <t xml:space="preserve">
Arytmier och synkope › Takykardier · s. 11 · Socialstyrelsens mål: STc6, STc9
</t>
        </r>
        <r>
          <rPr>
            <sz val="9"/>
            <color rgb="FF000000"/>
            <rFont val="Arial"/>
            <family val="2"/>
          </rPr>
          <t>• Indikationer och komplikationer vid ICD-behandling samt genomföra avläsning med programmerare.</t>
        </r>
      </text>
    </comment>
    <comment ref="C71" authorId="0" shapeId="0" xr:uid="{00000000-0006-0000-0600-000029000000}">
      <text>
        <r>
          <rPr>
            <b/>
            <sz val="9"/>
            <color rgb="FF2E7D32"/>
            <rFont val="Arial"/>
            <family val="2"/>
          </rPr>
          <t xml:space="preserve">Ordagrant / nära ordagrant ur SvKF 2022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Arytmier och synkope › Takykardier · s. 12 · Socialstyrelsens mål: STc6, STc9
</t>
        </r>
        <r>
          <rPr>
            <sz val="9"/>
            <color rgb="FF000000"/>
            <rFont val="Arial"/>
            <family val="2"/>
          </rPr>
          <t xml:space="preserve">• Indikationer, komplikationer och prognos vid elektrofysiologisk undersökning och ablationsbehandling vid supraventrikulär takykardi.
• Indikationer, kontraindikationer, komplikationer och prognos för invasiva behandlingsmetoder såsom kateterablation och kirurgi vid ventrikulära extraslag och ventrikulär takykardi.
</t>
        </r>
        <r>
          <rPr>
            <b/>
            <sz val="9"/>
            <color rgb="FF1B3A5C"/>
            <rFont val="Arial"/>
            <family val="2"/>
          </rPr>
          <t xml:space="preserve">
Arytmier och synkope › Förmaksflimmer/Förmaksfladder · s. 12 · Socialstyrelsens mål: STc6, STc9
</t>
        </r>
        <r>
          <rPr>
            <sz val="9"/>
            <color rgb="FF000000"/>
            <rFont val="Arial"/>
            <family val="2"/>
          </rPr>
          <t>• Indikationer, kontraindikationer, komplikationer och prognos för invasiva behandlingsmetoder såsom kateterablation och kirurgi inklusive ocklusion av förmaksörat.</t>
        </r>
      </text>
    </comment>
    <comment ref="C72" authorId="0" shapeId="0" xr:uid="{00000000-0006-0000-0600-00002A000000}">
      <text>
        <r>
          <rPr>
            <b/>
            <sz val="9"/>
            <color rgb="FF1F4E79"/>
            <rFont val="Arial"/>
            <family val="2"/>
          </rPr>
          <t xml:space="preserve">Bygger på SvKF 2022 – egen formulering/konkretisering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Arytmier och synkope › Förmaksflimmer/Förmaksfladder · s. 12 · Socialstyrelsens mål: STc6, STc9
</t>
        </r>
        <r>
          <rPr>
            <sz val="9"/>
            <color rgb="FF000000"/>
            <rFont val="Arial"/>
            <family val="2"/>
          </rPr>
          <t xml:space="preserve">• Farmakologisk konvertering och elkonvertering.
</t>
        </r>
        <r>
          <rPr>
            <b/>
            <sz val="9"/>
            <color rgb="FF1B3A5C"/>
            <rFont val="Arial"/>
            <family val="2"/>
          </rPr>
          <t xml:space="preserve">
Akut omhändertagande av livshotande kardiologiska tillstånd · s. 8 · Socialstyrelsens mål: STc6
</t>
        </r>
        <r>
          <rPr>
            <sz val="9"/>
            <color rgb="FF000000"/>
            <rFont val="Arial"/>
            <family val="2"/>
          </rPr>
          <t xml:space="preserve">• Akut elkonvertering och extern pacing.
</t>
        </r>
        <r>
          <rPr>
            <b/>
            <sz val="9"/>
            <color rgb="FF1B3A5C"/>
            <rFont val="Arial"/>
            <family val="2"/>
          </rPr>
          <t xml:space="preserve">
Rekommendationslista – kompetensnivåer för färdigheter · s. 23
</t>
        </r>
        <r>
          <rPr>
            <sz val="9"/>
            <color rgb="FF000000"/>
            <rFont val="Arial"/>
            <family val="2"/>
          </rPr>
          <t>• Elkonvertering — nivå Sverige: 5, ESC: 5</t>
        </r>
      </text>
    </comment>
    <comment ref="C74" authorId="0" shapeId="0" xr:uid="{00000000-0006-0000-0600-00002B000000}">
      <text>
        <r>
          <rPr>
            <b/>
            <sz val="9"/>
            <color rgb="FF1F4E79"/>
            <rFont val="Arial"/>
            <family val="2"/>
          </rPr>
          <t xml:space="preserve">Bygger på SvKF 2022 – egen formulering/konkretisering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Arytmier och synkope › Bradykardier och device · s. 12 · Socialstyrelsens mål: STc6, STc9
</t>
        </r>
        <r>
          <rPr>
            <sz val="9"/>
            <color rgb="FF000000"/>
            <rFont val="Arial"/>
            <family val="2"/>
          </rPr>
          <t>• Pacemaker- och ICD-avläsning samt basal programmering:
    – Interrogera en pacemaker/ICD. Genomföra tröskelvärdestest, sensingtest, analysera impedans.
    – Bedöma basal pacemaker/ICD diagnostik såsom andel pacing, förekomst av takyarytmier, batteritid, frekvenshistogram.
    – Interrogera en ICD och avgöra om det förekommit terapier samt avgöra om dessa varit adekvata.
• Indikation för och utredning med Implantable loop recorder (ILR).</t>
        </r>
      </text>
    </comment>
    <comment ref="C75" authorId="0" shapeId="0" xr:uid="{00000000-0006-0000-0600-00002C000000}">
      <text>
        <r>
          <rPr>
            <b/>
            <sz val="9"/>
            <color rgb="FF1F4E79"/>
            <rFont val="Arial"/>
            <family val="2"/>
          </rPr>
          <t xml:space="preserve">Bygger på SvKF 2022 – egen formulering/konkretisering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Arytmier och synkope · s. 11 · Socialstyrelsens mål: STc6, STc9
</t>
        </r>
        <r>
          <rPr>
            <sz val="9"/>
            <color rgb="FF000000"/>
            <rFont val="Arial"/>
            <family val="2"/>
          </rPr>
          <t xml:space="preserve">• Implikationer för yrkesutövning, idrottande och behörighet för körkort.
</t>
        </r>
        <r>
          <rPr>
            <b/>
            <sz val="9"/>
            <color rgb="FF1B3A5C"/>
            <rFont val="Arial"/>
            <family val="2"/>
          </rPr>
          <t xml:space="preserve">
Kardiologisk rehabilitering · s. 18 · Socialstyrelsens mål: STc12, STc13
</t>
        </r>
        <r>
          <rPr>
            <sz val="9"/>
            <color rgb="FF000000"/>
            <rFont val="Arial"/>
            <family val="2"/>
          </rPr>
          <t xml:space="preserve">• Trafikföreskrifter vid hjärtsjukdom.
</t>
        </r>
        <r>
          <rPr>
            <b/>
            <sz val="9"/>
            <color rgb="FF1B3A5C"/>
            <rFont val="Arial"/>
            <family val="2"/>
          </rPr>
          <t xml:space="preserve">
Idrottskardiologi · s. 19 · Socialstyrelsens mål: STc9, STc10, STc12
</t>
        </r>
        <r>
          <rPr>
            <sz val="9"/>
            <color rgb="FF000000"/>
            <rFont val="Arial"/>
            <family val="2"/>
          </rPr>
          <t>• Rådgivning angående fysisk aktivitet vid hjärtsjukdom.</t>
        </r>
      </text>
    </comment>
    <comment ref="C76" authorId="0" shapeId="0" xr:uid="{00000000-0006-0000-0600-00002D000000}">
      <text>
        <r>
          <rPr>
            <b/>
            <sz val="9"/>
            <color rgb="FF2E7D32"/>
            <rFont val="Arial"/>
            <family val="2"/>
          </rPr>
          <t xml:space="preserve">Ordagrant / nära ordagrant ur SvKF 2022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b/>
            <sz val="9"/>
            <color rgb="FF1B3A5C"/>
            <rFont val="Arial"/>
            <family val="2"/>
          </rPr>
          <t xml:space="preserve">
Arytmier och synkope › Bradykardier och device · s. 12 · Socialstyrelsens mål: STc6, STc9
</t>
        </r>
        <r>
          <rPr>
            <sz val="9"/>
            <color rgb="FF000000"/>
            <rFont val="Arial"/>
            <family val="2"/>
          </rPr>
          <t xml:space="preserve">• Grundläggande kunskap om handläggning av device i samband med MR undersökning
</t>
        </r>
        <r>
          <rPr>
            <b/>
            <sz val="9"/>
            <color rgb="FF1B3A5C"/>
            <rFont val="Arial"/>
            <family val="2"/>
          </rPr>
          <t xml:space="preserve">
Noninvasiv bild- och funktionsdiagnostik › Allmänt · s. 20 · Socialstyrelsens mål: STc7
</t>
        </r>
        <r>
          <rPr>
            <sz val="9"/>
            <color rgb="FF000000"/>
            <rFont val="Arial"/>
            <family val="2"/>
          </rPr>
          <t>• Säkerhet relaterat till medicintekniska produkter vid MR-undersökningar.</t>
        </r>
      </text>
    </comment>
    <comment ref="C77" authorId="0" shapeId="0" xr:uid="{00000000-0006-0000-0600-00002E000000}">
      <text>
        <r>
          <rPr>
            <b/>
            <sz val="9"/>
            <color rgb="FF1F4E79"/>
            <rFont val="Arial"/>
            <family val="2"/>
          </rPr>
          <t xml:space="preserve">Bygger på SvKF 2022 – egen formulering/konkretisering
</t>
        </r>
        <r>
          <rPr>
            <sz val="8"/>
            <color rgb="FF595959"/>
            <rFont val="Arial"/>
            <family val="2"/>
          </rPr>
          <t xml:space="preserve">Källa: Svenska Kardiologföreningens Kompetensbeskrivning 2022 (uppdaterad 24 oktober 2024)
</t>
        </r>
        <r>
          <rPr>
            <i/>
            <sz val="8"/>
            <color rgb="FF595959"/>
            <rFont val="Arial"/>
            <family val="2"/>
          </rPr>
          <t xml:space="preserve">Device vid kirurgi nämns inte som eget delmål; momentet att stänga av ICD-terapier gör det.
</t>
        </r>
        <r>
          <rPr>
            <b/>
            <sz val="9"/>
            <color rgb="FF1B3A5C"/>
            <rFont val="Arial"/>
            <family val="2"/>
          </rPr>
          <t xml:space="preserve">
Arytmier och synkope › Bradykardier och device · s. 12 · Socialstyrelsens mål: STc6, STc9
</t>
        </r>
        <r>
          <rPr>
            <sz val="9"/>
            <color rgb="FF000000"/>
            <rFont val="Arial"/>
            <family val="2"/>
          </rPr>
          <t xml:space="preserve">• Pacemaker- och ICD-avläsning samt basal programmering:
    – Stänga av takykardibrytande terapier på en ICD (magnet och omprogrammering).
</t>
        </r>
        <r>
          <rPr>
            <b/>
            <sz val="9"/>
            <color rgb="FF1B3A5C"/>
            <rFont val="Arial"/>
            <family val="2"/>
          </rPr>
          <t xml:space="preserve">
Akut omhändertagande av livshotande kardiologiska tillstånd · s. 8 · Socialstyrelsens mål: STc6
</t>
        </r>
        <r>
          <rPr>
            <sz val="9"/>
            <color rgb="FF000000"/>
            <rFont val="Arial"/>
            <family val="2"/>
          </rPr>
          <t xml:space="preserve">• Indikationer för ICD samt inaktivering med programmerare respektive magnet.
</t>
        </r>
        <r>
          <rPr>
            <b/>
            <sz val="9"/>
            <color rgb="FF1B3A5C"/>
            <rFont val="Arial"/>
            <family val="2"/>
          </rPr>
          <t xml:space="preserve">
Arytmier och synkope › Takykardier · s. 12 · Socialstyrelsens mål: STc6, STc9
</t>
        </r>
        <r>
          <rPr>
            <sz val="9"/>
            <color rgb="FF000000"/>
            <rFont val="Arial"/>
            <family val="2"/>
          </rPr>
          <t xml:space="preserve">• Inaktivering av en ICD med magnet och programmerare samt avslutande av ICD-behandling i livets slutskede.
</t>
        </r>
        <r>
          <rPr>
            <b/>
            <sz val="9"/>
            <color rgb="FF1B3A5C"/>
            <rFont val="Arial"/>
            <family val="2"/>
          </rPr>
          <t xml:space="preserve">
Preoperativ bedömning · s. 22 · Socialstyrelsens mål: specifikt mål saknas
</t>
        </r>
        <r>
          <rPr>
            <sz val="9"/>
            <color rgb="FF000000"/>
            <rFont val="Arial"/>
            <family val="2"/>
          </rPr>
          <t>• Värdera behov av pre-, peri- och postoperativ kardiell monitorering i samband med kirurgi.
• Farmakologiska och icke-farmakologiska interventioner för att optimera den kardiovaskulära risken vid kirurgi.</t>
        </r>
      </text>
    </comment>
  </commentList>
</comments>
</file>

<file path=xl/sharedStrings.xml><?xml version="1.0" encoding="utf-8"?>
<sst xmlns="http://schemas.openxmlformats.org/spreadsheetml/2006/main" count="2563" uniqueCount="1334">
  <si>
    <t>ST-KARDIOLOGI</t>
  </si>
  <si>
    <t>Mina uppgifter</t>
  </si>
  <si>
    <t>Namn:</t>
  </si>
  <si>
    <t>Personnummer (frivilligt):</t>
  </si>
  <si>
    <t>ST-startdatum:</t>
  </si>
  <si>
    <t>Förväntat slutdatum:</t>
  </si>
  <si>
    <t>Huvudansvarig handledare:</t>
  </si>
  <si>
    <t>Om verktyget</t>
  </si>
  <si>
    <t>Detta verktyg är ett personligt arbetsdokument som hjälper dig följa din progression genom ST. Lärandemålen, kurserna, guidelines och praktiska färdigheterna är hämtade direkt från klinikens ST-plan. Status räknas ut automatiskt utifrån din självskattade kompetensnivå.</t>
  </si>
  <si>
    <t>Kompetensnivåer (Svenska Kardiologföreningen)</t>
  </si>
  <si>
    <t>Nivå 1</t>
  </si>
  <si>
    <t>Kan observera</t>
  </si>
  <si>
    <t>Nivå 2</t>
  </si>
  <si>
    <t>Kan utföra under direkt handledning (handledare fysiskt närvarande)</t>
  </si>
  <si>
    <t>Nivå 3</t>
  </si>
  <si>
    <t>Kan utföra under indirekt handledning (handledare tillgänglig inom minuter)</t>
  </si>
  <si>
    <t>Nivå 4</t>
  </si>
  <si>
    <t>Kan utföra under distanshandledning (handledare nåbar, 20–30 min)</t>
  </si>
  <si>
    <t>Nivå 5</t>
  </si>
  <si>
    <t>Kan utföra självständigt och handleda andra</t>
  </si>
  <si>
    <t>Statuskoder</t>
  </si>
  <si>
    <t>❌ Ej påbörjad</t>
  </si>
  <si>
    <t>Du har inte börjat med det här målet ännu</t>
  </si>
  <si>
    <t>🟡 Pågående</t>
  </si>
  <si>
    <t>Du jobbar med målet — under förväntad nivå</t>
  </si>
  <si>
    <t>🟢 Uppnådd</t>
  </si>
  <si>
    <t>Målet är uppnått enligt målnivå</t>
  </si>
  <si>
    <t>🔵 Överträffad</t>
  </si>
  <si>
    <t>Du har gått längre än vad som krävs</t>
  </si>
  <si>
    <t>DASHBOARD — Min progression</t>
  </si>
  <si>
    <t>ST-startdatum</t>
  </si>
  <si>
    <t>Förväntat slutdatum</t>
  </si>
  <si>
    <t>Dagar kvar</t>
  </si>
  <si>
    <t>Tidsprogression</t>
  </si>
  <si>
    <t>Tidslinje</t>
  </si>
  <si>
    <t>Progression per delblock</t>
  </si>
  <si>
    <t>Delblock</t>
  </si>
  <si>
    <t>Totalt</t>
  </si>
  <si>
    <t>Uppnått</t>
  </si>
  <si>
    <t>Andel</t>
  </si>
  <si>
    <t>Visualisering</t>
  </si>
  <si>
    <t>Status</t>
  </si>
  <si>
    <t>🚨  HIA</t>
  </si>
  <si>
    <t>⚡  Arytmier</t>
  </si>
  <si>
    <t>TOTALT</t>
  </si>
  <si>
    <t>Snabbfunktioner</t>
  </si>
  <si>
    <t>🔄  Klicka här: Uppdatera progression</t>
  </si>
  <si>
    <t>🔍  Klicka här: Visa ej klara mål</t>
  </si>
  <si>
    <t>Tid</t>
  </si>
  <si>
    <t>12 månader</t>
  </si>
  <si>
    <t>Placering</t>
  </si>
  <si>
    <t>📚 Kurser</t>
  </si>
  <si>
    <t>Aktivitet</t>
  </si>
  <si>
    <t>Datum klar</t>
  </si>
  <si>
    <t>Anteckning</t>
  </si>
  <si>
    <t>Akut och kronisk kranskärlssjukdom</t>
  </si>
  <si>
    <t>📖 Guidelines / Läsning</t>
  </si>
  <si>
    <t>2023 ESC Guidelines for the management of ACS</t>
  </si>
  <si>
    <t>2024 ESC Guidelines for the management of CCS</t>
  </si>
  <si>
    <t>2018 ESC/EACTS Guidelines on myocardial revascularization</t>
  </si>
  <si>
    <t>Fourth universal definition of myocardial infarction (2018)</t>
  </si>
  <si>
    <t>2025 ESC Guidelines for the management of myocarditis and pericarditis</t>
  </si>
  <si>
    <t>2024 ESC Guidelines for the management of peripheral arterial and aortic diseases</t>
  </si>
  <si>
    <t>2025 ESC Guidelines for the management of cardiovascular disease and pregnancy</t>
  </si>
  <si>
    <t>Nr</t>
  </si>
  <si>
    <t>Mål-
nivå</t>
  </si>
  <si>
    <t>Själv-
skattad</t>
  </si>
  <si>
    <t>Datum
uppnått</t>
  </si>
  <si>
    <t>Föreslagen objektiv bedömning</t>
  </si>
  <si>
    <t>Kommentar</t>
  </si>
  <si>
    <t>Teoretiska kunskaper: patofysiologi, klassifikation och farmakologi</t>
  </si>
  <si>
    <t>Aterosklerotisk patogenes: endoteldysfunktion, lipidinlagring, plackutveckling, plackruptur &amp; plackerosion, trombosbildning</t>
  </si>
  <si>
    <t>c7</t>
  </si>
  <si>
    <t>Akut koronart syndrom (aterosklerotiska och icke aterosklerotiska): klassifikation, epidemiologi, orsaker, och patofysiologi</t>
  </si>
  <si>
    <t>Kroniskt koronart syndrom (angina, mikrovaskulär angina (CMD/INOCA/ANOCA), vasospastisk angina, endoteldysfunktion): klassifikation, epidemiologi, orsaker, och patofysiologi</t>
  </si>
  <si>
    <t>Klassifikation av hjärtinfarkt</t>
  </si>
  <si>
    <t>Myokardit (viral, autoimmun, toxisk, inflammatorisk) och perikardit (akut, recidiverande, konstriktiv): patofysiologi och klassifikation</t>
  </si>
  <si>
    <t>Antitrombotiska läkemedel (ASA, P2Y12-hämmare, GP IIb/IIIa-hämmare; antikoagulantia (UFH, LMWH, bivalirudin, fondaparinux): verkningsmekanism, dosering, interaktioner, eventuell reversering</t>
  </si>
  <si>
    <t>c3</t>
  </si>
  <si>
    <t>Antiischemisk läkemedel: betablockad, kalciumantagonister, nitrater, ranolazin, ivabradin, nikorandil; verkningsmekanismer, dosering, interaktioner, och kontraindikationer</t>
  </si>
  <si>
    <t>Akuta thorakala aortasjukdomar (aortadissektion, PAU, IMH): klassifikation och patofysiologi</t>
  </si>
  <si>
    <t>c11</t>
  </si>
  <si>
    <t>Redogöra för hur graviditet, förlossning och postpartumperiod påverkar hemodynamiken hos den friska kvinnan samt kvinnor med hjärtsjukdom eller aortasjukdom</t>
  </si>
  <si>
    <t>c10</t>
  </si>
  <si>
    <t>Klinisk bedömning &amp; diagnostik</t>
  </si>
  <si>
    <t>Strukturerad differentialdiagnostik vid akut bröstsmärta (AKS, aortadissektion, lungemboli, perikardit/myokardit, pneumothorax, esofagussjukdom, muskuloskeletalt, panikångest)</t>
  </si>
  <si>
    <t>Utredning och diagnostik vid misstänkt kranskärlssjukdom</t>
  </si>
  <si>
    <t>Strukturerad utredning av MINOCA</t>
  </si>
  <si>
    <t>Biokemiska hjärtskademarkörer: använda hs-troponin I/T, CK-MB samt kunna tillämpa förhöjt troponin utanför AKS</t>
  </si>
  <si>
    <t>Icke-invasiv funktionell diagnostik: arbets-EKG, stresseko, myokardscintigrafi, stress-MR; indikationer, styrkor, begränsningar och tillämpning till rätt patient</t>
  </si>
  <si>
    <t>Icke-invasiv anatomisk diagnostik: DT-kranskärl, kalciumscore; indikationer, tolkningsprinciper, val mellan DT och invasiv angio</t>
  </si>
  <si>
    <t>Diagnostik och utredning vid misstänkt myokardit (EKG fynd, EKO/MR fynd och indikationer för respektive undersökning, biomarkörer som CRP, trop och NTprobnp, indikation för biopsi)</t>
  </si>
  <si>
    <t>Diagnostik och utredning vid misstänkt perikardit (EKG fynd, EKO, CRP/SR/trop/NTproBNP, indikation för biopsi och val av bildgivande diagnostik vid recidiverande eller konstrktiv perikardit)</t>
  </si>
  <si>
    <t>Kliniska tecken, symtom, akut diagnostik och behandling av akut hjärtkärlsjukdom hos gravida inkl lungemboli, aortadissektion och hjärtinfarkt.</t>
  </si>
  <si>
    <t>Strukturerad utredning av patient med misstänkt familjär hyperkolesterolemi</t>
  </si>
  <si>
    <t>Utredning, diagnostik och handläggning av perikardvätska</t>
  </si>
  <si>
    <t>Diagnostik vid akut och kronisk thorakal aortasjukdom (DT, MR, TEE, TTE, d-dimer och ADD-RS)</t>
  </si>
  <si>
    <t>Beslutsfattande &amp; Riskbedömning och samsjuklighet</t>
  </si>
  <si>
    <t>Riskstratifiera AKS (TIMI, GRACE), använda resultatet för att styra tidpunkt för invasiv utredning och bedöma adekvat vårdnivå</t>
  </si>
  <si>
    <t>Bedöma blödningsrisk vid AKS och balansera mot trombosrisk vid val av antitrombotisk strategi och duration av DAPT, inkl deeskalering och hantering av dessa vid planerad kirurgi</t>
  </si>
  <si>
    <t>Bedöma samsjuklighet (njursvikt, diabetes, hög ålder, anemi, tidigare blödning, kognitiv svikt, skörhet) och dess betydelse för behandlingsval</t>
  </si>
  <si>
    <t>Strukturerad riskfaktorbedömning vid KKS: SCORE2/SCORE2-OP, lipider, BT, glukos, BMI, rökning, psykosocial stress</t>
  </si>
  <si>
    <t>Preoperativ kardiovaskulär riskbedömning inför icke-kardiell kirurgi</t>
  </si>
  <si>
    <t>Bedömning av risk och prognos vid aortasjukdomar: storlek, tillväxthastighet, genetik och indikation för elektiv kirurgi</t>
  </si>
  <si>
    <t>Besluta och motivera om val av revaskularisering (PCI vs CABG vs konservativ behandling)</t>
  </si>
  <si>
    <t>Identifiera kvinnor med hög risk för kardiella komplikationer inklusive preeklampsi och arytmi, vilka kan vara i behov av kardiell intervention före/under graviditet</t>
  </si>
  <si>
    <t>Behandling</t>
  </si>
  <si>
    <t>Läkemedelsbehandling i samband med invasiv kardiell utredning och behandling (antikoagulation, antitrombotiska, kontraststrategi och hydrering)</t>
  </si>
  <si>
    <t>Behandling vid myokardit</t>
  </si>
  <si>
    <t>Behandling vid akut och kronisk perikardit</t>
  </si>
  <si>
    <t>Initial handläggning och medicinsk behandling vid akut aortasyndrom</t>
  </si>
  <si>
    <t>Läkemedelsbehandling vid graviditet/amning (inkl. antikoagulation vid klaffprotes)</t>
  </si>
  <si>
    <t>c6</t>
  </si>
  <si>
    <t>Uppföljning, prevention och sjukskrivning</t>
  </si>
  <si>
    <t>Strukturerad uppföljningsplan och långsiktig behandling efter AKS och KKS: innehåll, målvärden, remissflöden</t>
  </si>
  <si>
    <t>c12</t>
  </si>
  <si>
    <t>Prognosbedömning efter AKS: LVEF, residualsymtom, återinsjuknande, SCD-risk (primärprevention med ICD)</t>
  </si>
  <si>
    <t>Sekundärpreventiva läkemedel efter hjärtinfarkt — DAPT-duration, ACE-/ARB/ARNI, betablockad, MRA, statiner, SGLT2i/GLP-1RA vid DM/hjärtsvikt</t>
  </si>
  <si>
    <t>Sekundärpreventiva teambaserade insatser och rehabiliteringsprogram efter hjärtinfarkt, PCI och hjärtkirurgi.</t>
  </si>
  <si>
    <t>Sjukskrivning, ge arbetsanpassning vid hjärtsjukdom, och ge råd enligt trafikföreskrifter</t>
  </si>
  <si>
    <t>Familjescreening vid tidig AKS (&lt;55 år män, &lt;65 år kvinnor): lipider, hypertoni, familjär hyperkolesterolemi (FH) med DLCN-kriterier</t>
  </si>
  <si>
    <t>Bedöma betydelsen av hjärtsjukdom för val av preventivmetod</t>
  </si>
  <si>
    <t>SUMMA</t>
  </si>
  <si>
    <t>Andel uppnått</t>
  </si>
  <si>
    <t>HIA larm, HIA ÖL2, hjärtjour</t>
  </si>
  <si>
    <t>Intern utbildning</t>
  </si>
  <si>
    <t>Arytmier: patofysiologi och klassifikation vid akuta taky- och bradyarytmier med hemodynamisk påverkan</t>
  </si>
  <si>
    <t>Akut hjärtsvikt och lungödem: patofysiologi, kardiogen vs icke-kardiogen, triggermekanismer, hemodynamiska profiler (warm/cold, wet/dry)</t>
  </si>
  <si>
    <t>Perimyokardit: patofysiologi, inkl fulminant myokardit med chock</t>
  </si>
  <si>
    <t>Mekaniska komplikationer vid AKS: patofysiologi vid akuta klaffinsufficiens, VSD, väggruptur</t>
  </si>
  <si>
    <t>Hjärttamponad: orsaker (AKS, dissektion, iatrogent, malignt, infektiöst), hemodynamik</t>
  </si>
  <si>
    <t>Akut aortadissektion och aortaruptur: patofysiologi, hemodynamiska konsekvenser, associerade komplikationer (malperfusion, tamponad, akut AI)</t>
  </si>
  <si>
    <t>Lungemboli: högersvikt, hemodynamik, risk-stratifiering</t>
  </si>
  <si>
    <t>Använda biokemiska markörer i akuta situationer (tex hs-troponin, NT-proBNP, D-dimer, laktat, blodgas (ABG/VBG), procalcitonin vid misstänkt infektion)</t>
  </si>
  <si>
    <t>Akut högerhjärtsvikt (post-inferior STEMI eller massiv LE) — volymstrategi, inotropi, pulmonell vasodilatation, undvika hypoxi/acidos</t>
  </si>
  <si>
    <t>Akuta PCI-indikationer (STEMI, hög risk NSTEMI)</t>
  </si>
  <si>
    <t>Hemodynamisk monitorering (artärtryck, CVP)</t>
  </si>
  <si>
    <t>Diagnostik av lungemboli (DT, eko, biomarkörer)</t>
  </si>
  <si>
    <t>Diagnostik av aortasjukdom</t>
  </si>
  <si>
    <t>Bedöma vårdnivå vid akuta tillstånd (HIA, IVA, thoraxkirurgi, intervention, avdelning)</t>
  </si>
  <si>
    <t>Bedöma risk för komplikationer efter AKS/PCI/kirurgi</t>
  </si>
  <si>
    <t>Bedöma samsjuklighetens inverkan vid akuta tillstånd (t.ex. njursvikt, blödning, KOL, leversvikt, malignitet, skörhet)</t>
  </si>
  <si>
    <t>Handlägga hjärtstopp inkl. avancerad HLR och post-resusciteringsvård inkl prognostisering och neurologisk bedömning</t>
  </si>
  <si>
    <t>Akut svikt- och chockbehandling: diuretika, vasodilatorer, inotropi (dobutamin, milrinon, levosimendan, adrenalin), vasopressorer (noradrenalin, vasopressin)</t>
  </si>
  <si>
    <t>Initiera behandling vid lungemboli: antikoagulation, systemisk trombolys, kateterbaserad intervention, kirurgisk embolektomi, ECMO-indikation</t>
  </si>
  <si>
    <t>Bedöma och initiera behandling vid aortadissektion (BT-kontroll, smärtlindring, kirurgi)</t>
  </si>
  <si>
    <t>Bedöma akut kirurgibehov (dissektion, mekaniska AKS komplikation, endokardit, andra akuta klaffinsufficienser)</t>
  </si>
  <si>
    <t>Indikationer för CRRT och akut dialys</t>
  </si>
  <si>
    <t>Massiv blödning hos antikoagulerad patient: akut reversering (vitamin K, PCC, idarucizumab, andexanet alfa, protaminsulfat), transfusionsstrategi</t>
  </si>
  <si>
    <t>Indikation, kontraindikation och komplikationer för olika typer av mekaniskt cirkulationsstöd (IABP, impella, VA/VV-ecmo)</t>
  </si>
  <si>
    <t>🔬  STRUKTURELL HJÄRTSJUKDOM</t>
  </si>
  <si>
    <t>10 månader</t>
  </si>
  <si>
    <t>Akut och kronisk hjärtsvikt</t>
  </si>
  <si>
    <t>Klaffsjukdomar</t>
  </si>
  <si>
    <t>2021 ESC Guidelines for the diagnosis and treatment of acute and chronic heart failure</t>
  </si>
  <si>
    <t>2025 ESC/EACTS Guidelines for the management of valvular heart disease</t>
  </si>
  <si>
    <t>2023 ESC Guidelines for the management of cardiomyopathies</t>
  </si>
  <si>
    <t>2022 ESC/ERS Guidelines for the diagnosis and treatment of pulmonary hypertension</t>
  </si>
  <si>
    <t>2020 ESC Guidelines for the management of adult congenital heart disease</t>
  </si>
  <si>
    <t>2023 ESC Guidelines for the management of endocarditis</t>
  </si>
  <si>
    <t>Akut och kronisk hjärtsvikt: klassifikation, epidemiologi, orsaker, och patofysiologi</t>
  </si>
  <si>
    <t>c8</t>
  </si>
  <si>
    <t>Aortaklaffsjukdom: klassifikation, epidemiologi, orsaker, och patofysiologi</t>
  </si>
  <si>
    <t>Mitralklaffsjukdom: klassifikation, epidemiologi, orsaker, och patofysiologi</t>
  </si>
  <si>
    <t>Trikuskidalissjukdom: klassifikation, epidemiologi, orsaker, och patofysiologi</t>
  </si>
  <si>
    <t>Pulmonalissjukdom: klassifikation, epidemiologi, orsaker, och patofysiologi</t>
  </si>
  <si>
    <t>Pulmonell hypertension: klassifikation, epidemiologi, orsaker, patofysiologi</t>
  </si>
  <si>
    <t>Patofysiologi av kardiomyopatier och ärftliga hjärtsjukdomar: HCM, DCM, amyloidos, non-compaction CMP, sarkoidos, ARVC</t>
  </si>
  <si>
    <t>Patofysiologi av medfödda hjärtfel: ASD*, VSD*, Fallot*, PDA*, CoA*, TGA, Ebsteins anomali, Eisenmenger, pulmonalisstenos, aortastenos, venösa anomalier, enkammarhjärta och Fontan cirkulation, kranskärlsanomalier (medfödda), cyanotiska kongenitala hjärtfel och sekundär erytrocytos, pulmonell hypertension hos individer med kongenital hjärtsjukdom</t>
  </si>
  <si>
    <t>4* (3)</t>
  </si>
  <si>
    <t>Endokardit: epidemiologi, orsaker, riskfaktorer och patofysiologi</t>
  </si>
  <si>
    <t>Strukturerad utredning vid misstänkt hjärtsvikt, inkl klinisk bedömning av hemodynamiskt status, symtom och differentialdiagnoser vid akut och kronisk hjärtsvikt</t>
  </si>
  <si>
    <t>Strukturerad utredning vid misstänkt klaffsjukdom, inkl klinisk bedömning av blåsljud, symtom och differentialdiagnoser vid klaffsjukdom</t>
  </si>
  <si>
    <t>Strukturerad utredning vid misstänkt kardiomyopati, inkl korrekt val av diagnostisk metod för följande: HCM, DCM, amyloidos, sarkoidos, ARVC</t>
  </si>
  <si>
    <t>Strukturerad utredning, klinisk bild, differentialdiagnoser vid pulmonell hypertension</t>
  </si>
  <si>
    <t>Strukturerad utredning vid misstänkt infektiös endokardit, inkl klinisk bild, typisk mikrobiologi, bilddiagnostik samt kunna redogöra styrkor och begränsningar med respektive metod</t>
  </si>
  <si>
    <t>Beslutsfattande &amp; riskbedömning och samsjuklighet</t>
  </si>
  <si>
    <t>Vid hjärtsvikt kunna identifiera och handlägga samsjuklighet, inkl ischemisk hjärtsjukdom, arytmier, CKD, DM, KOL, OSAS, obesitas mm.</t>
  </si>
  <si>
    <t>Identifiera patienter som inte gagnas av vidare utredning och initiera palliativ behandling vid avancerad hjärtsvikt</t>
  </si>
  <si>
    <t>Bedöma när ACHD patient ska remitteras till specialistklinik, samt identifiera genetisk risk vid ärftliga hjärtsjukdomar och veta när dessa ska remitteras till klinisk genetik för vidare utredning</t>
  </si>
  <si>
    <t>Risker med invasiv behandling vid endokardit (deviceextraktion och kirurgi) samt indikationer för kontakt med specialistcentrum</t>
  </si>
  <si>
    <t>Kunna identifiera, veta indikationer och initial utredning för en hjärttransplantationskandidat, samt vet när man ska kontakta specialistcentra</t>
  </si>
  <si>
    <t>Läkemedelsbehandling vid akut hjärtsvikt</t>
  </si>
  <si>
    <t>Läkemedelsbehandling vid kronisk hjärtsvikt</t>
  </si>
  <si>
    <t>Indikationer för CRT, ICD, klaff- och kranskärlsinterventioninterventioner, ablation, och mekaniskt cirkulationsstöd vid hjärtsvikt</t>
  </si>
  <si>
    <t>Medicinsk behandling samt indikationer för kirurgi vid endokardit</t>
  </si>
  <si>
    <t>Postoperativ vård och initial handläggning av komplikationer efter klaffintervention</t>
  </si>
  <si>
    <t>Behandling vid pulmonell hypertension</t>
  </si>
  <si>
    <t>Behandling vid olika typer av kardiomyopatier (ffa HCM, DCM, amyloidos, sarkoidos, ARVC)</t>
  </si>
  <si>
    <t>Behandling efter hjärttransplantation.</t>
  </si>
  <si>
    <t>Uppföljning, prevention och sociala aspekter</t>
  </si>
  <si>
    <t>Uppföljning och prognosbedömning vid hjärtsvikt inkl kardiomyopatier, ACHD mm.</t>
  </si>
  <si>
    <t>Uppföljning och prognosbedömning av patienter med klaffsjukdom, inkl efter klaffkirurgi/intervention</t>
  </si>
  <si>
    <t>Kunna riktlinjer för antikoagulation och endokarditprofylax (klaff, ACHD)</t>
  </si>
  <si>
    <t>Rådgivning om levnadsvanor (träning, kost, alkohol, rökning) vid hjärtsvikt, klaffsjukdom, ACHD- och graviditetsrelaterade sjukdomar</t>
  </si>
  <si>
    <t>Rådgivning kring familjeplanering (genetiska hjärtsjukdomar)</t>
  </si>
  <si>
    <t>⚡  ARYTMIER</t>
  </si>
  <si>
    <t>Arytmier</t>
  </si>
  <si>
    <t>2024 ESC Guidelines for the management of atrial fibrillation</t>
  </si>
  <si>
    <t>2022 ESC Guidelines for the management of patients with ventricular arrhythmias and the prevention of sudden cardiac death</t>
  </si>
  <si>
    <t>2021 ESC Guidelines on cardiac pacing and cardiac resynchronization therapy</t>
  </si>
  <si>
    <t>2019 ESC Guidelines for the management of patients with supraventricular tachycardia</t>
  </si>
  <si>
    <t>2018 ESC Guidelines for the diagnosis and management of syncope</t>
  </si>
  <si>
    <t>Teoretiska kunskaper: patofysiologi, klassifikation, farmakologi</t>
  </si>
  <si>
    <t>Supraventrikulära takyarytmier (förmaksflimmer/fladder, FAT, MAT, AVNRT, AVRT, junctionell takykardi): klassifikation, epidemiologi, orsaker, och patofysiologi</t>
  </si>
  <si>
    <t>c9</t>
  </si>
  <si>
    <t>Ventrikulära takyarytmier (monomorf/polymorf VT, idiopatisk VT (RVOT/LVOT/fasikulär) TdP, VF, AIVR): klassifikation, epidemiologi, orsaker, och patofysiologi</t>
  </si>
  <si>
    <t>Bradyarytmier (sinusknutedysfunktion, AV-block): klassifikation, epidemiologi, orsaker, och patofysiologi.</t>
  </si>
  <si>
    <t>Synkope (reflexmedierad (vasovagal, situationell, carotissinussyndrom), ortostatisk, kardiell (arytmi, strukturell)): klassifikation, epidemiologi, orsaker, och patofysiologi.</t>
  </si>
  <si>
    <t>Patofysiologi av arytmimekanismer och fysiologi av hjärtats retledningssystem</t>
  </si>
  <si>
    <t>Antiarytmika: Vaughan-Williams-klassifikation, verkningsmekanismer, farmakokinetik, interaktioner (klass I–IV + digoxin, adenosin, ivabradin)</t>
  </si>
  <si>
    <t>Läkemedel med proarytmisk effekt (antipsykotika, antibiotika, antiemetika, onkologiska läkemedel)</t>
  </si>
  <si>
    <t>Antikoagulation (DOAK och warfarin): verkningsmekanism, farmakokinetik och dynamik</t>
  </si>
  <si>
    <t>Förstå hur olika pacemakersystem och ICD fungerar</t>
  </si>
  <si>
    <t>Ärftliga jonkanalssjukdomar (LQTS, SQTS, Brugada, CPVT, ERS, idiopatisk VF): patofysiologi och genetik</t>
  </si>
  <si>
    <t>Kardiomyopatier med arytmirisk (ARVC, HCM, DCM, LVNC, laminopatier, amyloidos, sarkoidos): klassifikation, epidemiologi, orsaker, och patofysiologi.</t>
  </si>
  <si>
    <t>Tolka olika former av EKG vid arytmier: 12-avlednings EKG, telemetri, Holter-EKG, esofagus-EKG, event recorder, tum-ekg</t>
  </si>
  <si>
    <t>Utredning och diagnostik vid ventrikulära arytmier (VES, VT)</t>
  </si>
  <si>
    <t>Utredning och diagnostik av förmaksflimmer/fladder</t>
  </si>
  <si>
    <t>Utredning och diagnostik av misstänkt kronotrop insufficiens och arbetsinducerad arytmi</t>
  </si>
  <si>
    <t>Utredning och diagnostik vid misstänkt arytmikänsla</t>
  </si>
  <si>
    <t>Utredning och diagnostik av andra SVT (FAT, MAT, AVNRT, AVRT, JT)</t>
  </si>
  <si>
    <t>Strukturerad utredning och diagnostik av synkope</t>
  </si>
  <si>
    <t>Indikation för och utredning med ILR: patientselektion, uppföljning, tolkning</t>
  </si>
  <si>
    <t>Indikation för och tolkning av TILT och carotissinusmassage</t>
  </si>
  <si>
    <t>Identifiera och handlägga device-komplikationer: elektrodförskjutning och fraktur, infektion (pocket, endokardit), pneumothorax, inadekvata chocker, Twiddler's syndrom, device-pocket-hematom</t>
  </si>
  <si>
    <t>Identifiera och handlägga ablation-komplikationer: tamponad, AV-block, kärlskada, atrioesofageal fistel, frenisk nervparalys, tromboembolism</t>
  </si>
  <si>
    <t>Integrera eko-/MR-/CT-fynd i arytmiutredning (strukturell orsak, ärrbild, funktion) och avgöra när bildgivande utredning behövs</t>
  </si>
  <si>
    <t>Basal utredning och diagnostik vid misstänkt ärftlig arytmisjukdom, inkl familjeutredning och screening: indikation, remittering till klinisk genetik, initial screening av första gradens släktingar</t>
  </si>
  <si>
    <t>Förmaksflimmer/fladder: motivera val av emboliprofylax (DOAK vs warfarin), värdera blödningsrisk och känna till betydelsen av samsjukligheter (obesitas, alkohol, OSAS, hjärtsvikt, klaffsjukdom, thyroideasjukdom, njursvikt, diabetes, KOL mm).</t>
  </si>
  <si>
    <t>Bedöma samsjuklighetens betydelse för arytmihantering (t.ex. hjärtsvikt, klaffsjukdom, ischemi, tyreoideasjukdom, njursvikt, OSA, KOL)</t>
  </si>
  <si>
    <t>Synkope: bedöma risk, prognos och vårdnivå</t>
  </si>
  <si>
    <t>ICD (primärprevention): värdera nytta, risk, patientpreferenser, livskvalitet</t>
  </si>
  <si>
    <t>Ventrikulära arytmier (vid kardiomyopatier, ischemisk hjärtsjukdom, ärftliga arytmisyndrom): riskstratifiering för plötslig hjärtdöd</t>
  </si>
  <si>
    <t>Behandling: farmakologi, devices och ablation</t>
  </si>
  <si>
    <t>Förmaksflimmer/fladder: farmakologisk och invasiv behandling av förmaksflimmer/fladder (rytmreglerande och frekvensreglerande läkemedel, elkonvertering, ablation)</t>
  </si>
  <si>
    <t>Emboliprofylax vid FF/FFL: val mellan DOAK och warfarin; dosering vid njursvikt, ålder, vikt; läkemedelsinteraktioner; hantering vid planerad kirurgi</t>
  </si>
  <si>
    <t>Andra SVT (FAT, MAT, AVNRT, AVRT, JT): icke-farmakologisk (vagala manövrar), farmakologisk och invasiv behandling</t>
  </si>
  <si>
    <t>Ventrikulära takyarytmier: farmakologisk (akut och underhållsbehandling) och invasiv behandling (ablation, ICD indikation)</t>
  </si>
  <si>
    <t>Bradyarytmier: farmakologisk och invasiv behandling (inkl temporär och permanent pacemakerindikation)</t>
  </si>
  <si>
    <t>Synkope: farmakologisk, icke-farmakologisk behandling samt deviceterapi vid synkope.</t>
  </si>
  <si>
    <t>Indikationer, kontraindikationer, komplikationer och prognos vid pacemaker, ICD och CRT-P/D.</t>
  </si>
  <si>
    <t>Indikationer, kontraindikationer, komplikationer, och prognos för kateterablation vid SVT, förmaksflimmer/fladder, VT och VES</t>
  </si>
  <si>
    <t>Indikationer och kontraindikationer av elkonvertering: planering (antikoagulation, eko, elektrolyter), sedering i samråd med narkos, val av energi, hantering av misslyckad konvertering</t>
  </si>
  <si>
    <t>Uppföljning, prevention &amp; sociala aspekter</t>
  </si>
  <si>
    <t>Uppföljning och monitorering av pacemaker/ICD/CRT/ILR</t>
  </si>
  <si>
    <t>Patientinformation om livsstil, träning, arbete och körkort vid arytmier.</t>
  </si>
  <si>
    <t>Grundläggande kunskap om handläggning av device i samband med MR undersökning</t>
  </si>
  <si>
    <t>Hantering av device vid elektiv och akut kirurgi: elektrokaustik, defibrilleringsomläggning, peri-operativ programmering</t>
  </si>
  <si>
    <t>Mottagning</t>
  </si>
  <si>
    <t>Hemostas</t>
  </si>
  <si>
    <t>Koagulationsfysiologi och vanliga koagulationsrubbningar.</t>
  </si>
  <si>
    <t>c2</t>
  </si>
  <si>
    <t>Farmakologi för antitrombotiska läkemedel (ASA, P2Y12-hämmare, DOAK, warfarin, heparin).</t>
  </si>
  <si>
    <t>Handlägga blödning och reversering av antikoagulantia.</t>
  </si>
  <si>
    <t>Indikationer för och tolkning av koagulationsprover.</t>
  </si>
  <si>
    <t>b1</t>
  </si>
  <si>
    <t>a2</t>
  </si>
  <si>
    <t>a1</t>
  </si>
  <si>
    <t>Beskrivning</t>
  </si>
  <si>
    <t>Block</t>
  </si>
  <si>
    <t>Datum</t>
  </si>
  <si>
    <t>Medarbetarskap, ledarskap och pedagogik</t>
  </si>
  <si>
    <t>Etik, mångfald och jämlikhet</t>
  </si>
  <si>
    <t>a3</t>
  </si>
  <si>
    <t>Vårdhygien och smittskydd</t>
  </si>
  <si>
    <t>Klinisk tjänstgöring</t>
  </si>
  <si>
    <t>a4</t>
  </si>
  <si>
    <t>a5</t>
  </si>
  <si>
    <t>Medicinsk vetenskap</t>
  </si>
  <si>
    <t>a6</t>
  </si>
  <si>
    <t>Lagar och föreskrifter samt hälso- och sjukvårdens organisation</t>
  </si>
  <si>
    <t>Kommunikation med patienter och närstående</t>
  </si>
  <si>
    <t>b2</t>
  </si>
  <si>
    <t>Sjukdomsförebyggande arbete</t>
  </si>
  <si>
    <t>b3</t>
  </si>
  <si>
    <t>Läkemedel</t>
  </si>
  <si>
    <t>b4</t>
  </si>
  <si>
    <t>Försäkringsmedicin</t>
  </si>
  <si>
    <t>b5</t>
  </si>
  <si>
    <t>Palliativ vård i livets slutskede</t>
  </si>
  <si>
    <t>c1</t>
  </si>
  <si>
    <t>c4</t>
  </si>
  <si>
    <t>c5</t>
  </si>
  <si>
    <t>c13</t>
  </si>
  <si>
    <t>Specialitetsspecifika lagar och föreskrifter</t>
  </si>
  <si>
    <t>Personlig progressionstracker</t>
  </si>
  <si>
    <t>ST-Chef / Studierektor:</t>
  </si>
  <si>
    <t>DS Utvecklingsprogram
Klinisk tjänstgöring</t>
  </si>
  <si>
    <t>Kvalitets- och utv.arbete
DS Utvecklingsprogram
Klinisk tjänstgöring</t>
  </si>
  <si>
    <t>Vetenskapligt arbete
DS vetenskaplig grundkurs
Klinisk tjänstgöring</t>
  </si>
  <si>
    <t>Webb-utbildning
Klinisk tjänstgöring</t>
  </si>
  <si>
    <t>Kurs tex PKC
Klinisk tjänstgöring</t>
  </si>
  <si>
    <t>Utbildningsaktivitet</t>
  </si>
  <si>
    <t>Interna och externa kurser
Klinisk tjänstgöring</t>
  </si>
  <si>
    <t>Interna och externa kurser</t>
  </si>
  <si>
    <t xml:space="preserve">🫀  Ischemi </t>
  </si>
  <si>
    <t>🚨  HIA (del av ischemi)</t>
  </si>
  <si>
    <t>🔬  Hjärtsvikt &amp; klaff</t>
  </si>
  <si>
    <t>🫀  ISCHEMISKA HJÄRTSJUKDOMAR &amp; AKUT KARDIOLOGI</t>
  </si>
  <si>
    <t>Koronaranatomi inkl kollateraler, anatomiska varianter inkl anomalier</t>
  </si>
  <si>
    <t>Lipidsänkande behandling (statiner, ezetimib, PCSK9-hämmare, ikosapentetyl, fibrater, bempedoinsyra, inklisiran): verkningsmekanism, dosering, interaktioner, hantering av statinintolerans</t>
  </si>
  <si>
    <t>CBD</t>
  </si>
  <si>
    <t>MiniCex eller CBD</t>
  </si>
  <si>
    <t>Behandling vid AKS: farmakologisk behandling vid AKS inkl antitrombotisk och antiischemisk behandling, tidfönster samt indikation/kontraindikation för invasiv reperfusionsbehandling, prehospital handläggning och besluta om typ av revaskularisering</t>
  </si>
  <si>
    <t xml:space="preserve">Indikation för alternativa behandlingsmetoder vid refraktär angina (CSR, EECP, nicorandil, stötvågsbehandling, ryggmärgstimulering) </t>
  </si>
  <si>
    <t xml:space="preserve">Behandling vid KKS: icke-farmakologisk, farmakologisk och invasiva utredning/åtgärd </t>
  </si>
  <si>
    <t>EKG-tolkning vid ischemi och myoperikardit samt ischemimonitorering</t>
  </si>
  <si>
    <t xml:space="preserve">2019 ESC Guidelines for the diagnosis and management of acute pulmonary embolism </t>
  </si>
  <si>
    <t>CBD eller muntligt förhör</t>
  </si>
  <si>
    <t>Handlägga och behandla komplikationer till AKS (arytmier, hjärtsvikt, kardiogen chock, mekaniska komplikationer)</t>
  </si>
  <si>
    <t>Handlägga och behandla av komplikationer till invasiva ingrepp (PCI, CABG, andra thoraxkirurgiska komplikationer)</t>
  </si>
  <si>
    <t>Förebygga och behandla misstänkt kontrastinducerad nefropati</t>
  </si>
  <si>
    <t>Handlägga behandla akuta komplikationer vid myokardit och perikardsjukdom, inklusive hjärttamponad.</t>
  </si>
  <si>
    <t>Självständigt identifiera, diagnosticera och handlägga akuta sjukdomstillstånd inom internmedicin och angränsande basspecialiteter</t>
  </si>
  <si>
    <t>Självständigt handlägga vanliga och allvarliga sjukdomstillstånd inom internmedicin och angränsande basspecialiteter</t>
  </si>
  <si>
    <t>Behärska läkemedelsanvändning med individualisering samt ha kunskap om biverkningar och polyfarmaci</t>
  </si>
  <si>
    <t>Självständigt handlägga vanliga och allvarliga sjukdomstillstånd vid multisjuklighet och ha kunskap om individualiserad behandling</t>
  </si>
  <si>
    <t>Självständigt besluta om och initiera palliativ vård</t>
  </si>
  <si>
    <t>Behärska akut omhändertagande av livshotande kardiologiska tillstånd</t>
  </si>
  <si>
    <t>Behärska diagnostik av AKS och CCS, ha kunskap om bild- och funktionsdiagnostiska metoder och strålfysik/skydd</t>
  </si>
  <si>
    <t>Behärska diagnostik och handläggning av hjärtsvikt klaffsjukdom och PAH</t>
  </si>
  <si>
    <t>Behärska handläggning av akuta arytmier och syncope samt ha kännedom om invasiv elfys</t>
  </si>
  <si>
    <t>Ha kunskap om och handlägga GUCH, ärftlig hjärtsjukdom, hjärtsjukdom vid graviditet, infektiös och inflammatorisk hjärtsjukdom</t>
  </si>
  <si>
    <t>Handlägga aortasjukdom och traumatisk hjärtsjukdom fram till ev operativ åtgärd</t>
  </si>
  <si>
    <t>Behärska primär- och sekundärprevention och ha kunskap om den aterosklerotiska processen</t>
  </si>
  <si>
    <t>HIA inskolning 3 veckor. Därefter sporadisk placering på HIA under ST</t>
  </si>
  <si>
    <t>AKS och kardiogen chock: patofysiologi och klassfikation (inkl SCAI klassifikation)</t>
  </si>
  <si>
    <t>Vasopressorer, inotroper och inodilatorer: verkningsmekanism, doser, biverkningar och indikation/kontraindikation</t>
  </si>
  <si>
    <t>Bedöma reversibilitet och prognos vid kardiogen chock — urval för MCS, transplantation, palliation</t>
  </si>
  <si>
    <t>Läkemedel mot arytmier (amiodaron, adenosin, atropin, isoprenalin, magnesium): verkningsmekanism, doser, biverkningar, indikation/kontraindikation och övervakning</t>
  </si>
  <si>
    <t>Akut farmakologisk arytmibehandling: amiodaron, adenosin, atropin, isoprenalin, magnesium</t>
  </si>
  <si>
    <t>Akut farmakologisk AKS-behandling: antitrombotika, nitroglycerin (infusion), betablockad; kontraindikationer och titrering</t>
  </si>
  <si>
    <t>Electrisk storm: sedering, betablockad iv (esmolol), amiodaron, MCS-övervägande, akut ablation-indikation</t>
  </si>
  <si>
    <t>Hjärtsviktsläkemedel (ACEi/ARB, BB, MRA, ARNI, SGLT2i, digoxin, loop diuretika): verkningsmekanism, farmakodynamik/kinetik</t>
  </si>
  <si>
    <t>akuten, 90, flimmercentrum, arytmimottagning, dagvårdarytmi, elfyslab, hjärtjour</t>
  </si>
  <si>
    <t>akuten, Sviktcentrum DV/SLV, sviktmottagning, HND, hjärtjour, auskultation: ACHD, klaffintervention &amp; avancerad svikt</t>
  </si>
  <si>
    <t>Målnivå</t>
  </si>
  <si>
    <t>Delmål
2015 / 2022</t>
  </si>
  <si>
    <t>Delmål 2015 / 2022</t>
  </si>
  <si>
    <t>Aktivitet  ·  så uppnås och bedöms</t>
  </si>
  <si>
    <r>
      <rPr>
        <sz val="9"/>
        <color rgb="FF595959"/>
        <rFont val="Arial"/>
        <family val="2"/>
      </rPr>
      <t>c7, c12</t>
    </r>
    <r>
      <rPr>
        <b/>
        <sz val="9"/>
        <color rgb="FF2E75B6"/>
        <rFont val="Arial"/>
        <family val="2"/>
      </rPr>
      <t xml:space="preserve">
STc7</t>
    </r>
  </si>
  <si>
    <r>
      <rPr>
        <sz val="9"/>
        <color rgb="FF595959"/>
        <rFont val="Arial"/>
        <family val="2"/>
      </rPr>
      <t>c7</t>
    </r>
    <r>
      <rPr>
        <b/>
        <sz val="9"/>
        <color rgb="FF2E75B6"/>
        <rFont val="Arial"/>
        <family val="2"/>
      </rPr>
      <t xml:space="preserve">
STc7</t>
    </r>
  </si>
  <si>
    <r>
      <rPr>
        <sz val="9"/>
        <color rgb="FF595959"/>
        <rFont val="Arial"/>
        <family val="2"/>
      </rPr>
      <t>c7</t>
    </r>
    <r>
      <rPr>
        <b/>
        <sz val="9"/>
        <color rgb="FF2E75B6"/>
        <rFont val="Arial"/>
        <family val="2"/>
      </rPr>
      <t xml:space="preserve">
STc7</t>
    </r>
  </si>
  <si>
    <r>
      <rPr>
        <sz val="9"/>
        <color rgb="FF595959"/>
        <rFont val="Arial"/>
        <family val="2"/>
      </rPr>
      <t>c7</t>
    </r>
    <r>
      <rPr>
        <b/>
        <sz val="9"/>
        <color rgb="FF2E75B6"/>
        <rFont val="Arial"/>
        <family val="2"/>
      </rPr>
      <t xml:space="preserve">
STc7</t>
    </r>
  </si>
  <si>
    <r>
      <rPr>
        <sz val="9"/>
        <color rgb="FF595959"/>
        <rFont val="Arial"/>
        <family val="2"/>
      </rPr>
      <t>c7</t>
    </r>
    <r>
      <rPr>
        <b/>
        <sz val="9"/>
        <color rgb="FF2E75B6"/>
        <rFont val="Arial"/>
        <family val="2"/>
      </rPr>
      <t xml:space="preserve">
STc7</t>
    </r>
  </si>
  <si>
    <r>
      <rPr>
        <sz val="9"/>
        <color rgb="FF595959"/>
        <rFont val="Arial"/>
        <family val="2"/>
      </rPr>
      <t>c10</t>
    </r>
    <r>
      <rPr>
        <b/>
        <sz val="9"/>
        <color rgb="FF2E75B6"/>
        <rFont val="Arial"/>
        <family val="2"/>
      </rPr>
      <t xml:space="preserve">
STc8, STc10</t>
    </r>
  </si>
  <si>
    <r>
      <rPr>
        <sz val="9"/>
        <color rgb="FF595959"/>
        <rFont val="Arial"/>
        <family val="2"/>
      </rPr>
      <t>c3, c7</t>
    </r>
    <r>
      <rPr>
        <b/>
        <sz val="9"/>
        <color rgb="FF2E75B6"/>
        <rFont val="Arial"/>
        <family val="2"/>
      </rPr>
      <t xml:space="preserve">
STc3, STc7</t>
    </r>
  </si>
  <si>
    <r>
      <rPr>
        <sz val="9"/>
        <color rgb="FF595959"/>
        <rFont val="Arial"/>
        <family val="2"/>
      </rPr>
      <t>c3, c7</t>
    </r>
    <r>
      <rPr>
        <b/>
        <sz val="9"/>
        <color rgb="FF2E75B6"/>
        <rFont val="Arial"/>
        <family val="2"/>
      </rPr>
      <t xml:space="preserve">
STc3, STc7</t>
    </r>
  </si>
  <si>
    <r>
      <rPr>
        <sz val="9"/>
        <color rgb="FF595959"/>
        <rFont val="Arial"/>
        <family val="2"/>
      </rPr>
      <t>c3, c12</t>
    </r>
    <r>
      <rPr>
        <b/>
        <sz val="9"/>
        <color rgb="FF2E75B6"/>
        <rFont val="Arial"/>
        <family val="2"/>
      </rPr>
      <t xml:space="preserve">
STc3, STc12</t>
    </r>
  </si>
  <si>
    <r>
      <rPr>
        <sz val="9"/>
        <color rgb="FF595959"/>
        <rFont val="Arial"/>
        <family val="2"/>
      </rPr>
      <t>c11</t>
    </r>
    <r>
      <rPr>
        <b/>
        <sz val="9"/>
        <color rgb="FF2E75B6"/>
        <rFont val="Arial"/>
        <family val="2"/>
      </rPr>
      <t xml:space="preserve">
STc11</t>
    </r>
  </si>
  <si>
    <r>
      <rPr>
        <sz val="9"/>
        <color rgb="FF595959"/>
        <rFont val="Arial"/>
        <family val="2"/>
      </rPr>
      <t>c10</t>
    </r>
    <r>
      <rPr>
        <b/>
        <sz val="9"/>
        <color rgb="FF2E75B6"/>
        <rFont val="Arial"/>
        <family val="2"/>
      </rPr>
      <t xml:space="preserve">
STc10</t>
    </r>
  </si>
  <si>
    <r>
      <rPr>
        <sz val="9"/>
        <color rgb="FF595959"/>
        <rFont val="Arial"/>
        <family val="2"/>
      </rPr>
      <t>c7</t>
    </r>
    <r>
      <rPr>
        <b/>
        <sz val="9"/>
        <color rgb="FF2E75B6"/>
        <rFont val="Arial"/>
        <family val="2"/>
      </rPr>
      <t xml:space="preserve">
STc7</t>
    </r>
  </si>
  <si>
    <r>
      <rPr>
        <sz val="9"/>
        <color rgb="FF595959"/>
        <rFont val="Arial"/>
        <family val="2"/>
      </rPr>
      <t>c1, c6, c7</t>
    </r>
    <r>
      <rPr>
        <b/>
        <sz val="9"/>
        <color rgb="FF2E75B6"/>
        <rFont val="Arial"/>
        <family val="2"/>
      </rPr>
      <t xml:space="preserve">
STc1, STc6, STc7</t>
    </r>
  </si>
  <si>
    <r>
      <rPr>
        <sz val="9"/>
        <color rgb="FF595959"/>
        <rFont val="Arial"/>
        <family val="2"/>
      </rPr>
      <t>c7</t>
    </r>
    <r>
      <rPr>
        <b/>
        <sz val="9"/>
        <color rgb="FF2E75B6"/>
        <rFont val="Arial"/>
        <family val="2"/>
      </rPr>
      <t xml:space="preserve">
STc7</t>
    </r>
  </si>
  <si>
    <r>
      <rPr>
        <sz val="9"/>
        <color rgb="FF595959"/>
        <rFont val="Arial"/>
        <family val="2"/>
      </rPr>
      <t>c7</t>
    </r>
    <r>
      <rPr>
        <b/>
        <sz val="9"/>
        <color rgb="FF2E75B6"/>
        <rFont val="Arial"/>
        <family val="2"/>
      </rPr>
      <t xml:space="preserve">
STc7</t>
    </r>
  </si>
  <si>
    <r>
      <rPr>
        <sz val="9"/>
        <color rgb="FF595959"/>
        <rFont val="Arial"/>
        <family val="2"/>
      </rPr>
      <t>c7</t>
    </r>
    <r>
      <rPr>
        <b/>
        <sz val="9"/>
        <color rgb="FF2E75B6"/>
        <rFont val="Arial"/>
        <family val="2"/>
      </rPr>
      <t xml:space="preserve">
STc7</t>
    </r>
  </si>
  <si>
    <r>
      <rPr>
        <sz val="9"/>
        <color rgb="FF595959"/>
        <rFont val="Arial"/>
        <family val="2"/>
      </rPr>
      <t>c7</t>
    </r>
    <r>
      <rPr>
        <b/>
        <sz val="9"/>
        <color rgb="FF2E75B6"/>
        <rFont val="Arial"/>
        <family val="2"/>
      </rPr>
      <t xml:space="preserve">
STc7</t>
    </r>
  </si>
  <si>
    <r>
      <rPr>
        <sz val="9"/>
        <color rgb="FF595959"/>
        <rFont val="Arial"/>
        <family val="2"/>
      </rPr>
      <t>c7</t>
    </r>
    <r>
      <rPr>
        <b/>
        <sz val="9"/>
        <color rgb="FF2E75B6"/>
        <rFont val="Arial"/>
        <family val="2"/>
      </rPr>
      <t xml:space="preserve">
STc7</t>
    </r>
  </si>
  <si>
    <r>
      <rPr>
        <sz val="9"/>
        <color rgb="FF595959"/>
        <rFont val="Arial"/>
        <family val="2"/>
      </rPr>
      <t>c10</t>
    </r>
    <r>
      <rPr>
        <b/>
        <sz val="9"/>
        <color rgb="FF2E75B6"/>
        <rFont val="Arial"/>
        <family val="2"/>
      </rPr>
      <t xml:space="preserve">
STc8, STc10</t>
    </r>
  </si>
  <si>
    <r>
      <rPr>
        <sz val="9"/>
        <color rgb="FF595959"/>
        <rFont val="Arial"/>
        <family val="2"/>
      </rPr>
      <t>c10</t>
    </r>
    <r>
      <rPr>
        <b/>
        <sz val="9"/>
        <color rgb="FF2E75B6"/>
        <rFont val="Arial"/>
        <family val="2"/>
      </rPr>
      <t xml:space="preserve">
STc8, STc10</t>
    </r>
  </si>
  <si>
    <r>
      <rPr>
        <sz val="9"/>
        <color rgb="FF595959"/>
        <rFont val="Arial"/>
        <family val="2"/>
      </rPr>
      <t>c10</t>
    </r>
    <r>
      <rPr>
        <b/>
        <sz val="9"/>
        <color rgb="FF2E75B6"/>
        <rFont val="Arial"/>
        <family val="2"/>
      </rPr>
      <t xml:space="preserve">
STc10</t>
    </r>
  </si>
  <si>
    <r>
      <rPr>
        <sz val="9"/>
        <color rgb="FF595959"/>
        <rFont val="Arial"/>
        <family val="2"/>
      </rPr>
      <t>c10, c12</t>
    </r>
    <r>
      <rPr>
        <b/>
        <sz val="9"/>
        <color rgb="FF2E75B6"/>
        <rFont val="Arial"/>
        <family val="2"/>
      </rPr>
      <t xml:space="preserve">
STc10, STc12</t>
    </r>
  </si>
  <si>
    <r>
      <rPr>
        <sz val="9"/>
        <color rgb="FF595959"/>
        <rFont val="Arial"/>
        <family val="2"/>
      </rPr>
      <t>c10</t>
    </r>
    <r>
      <rPr>
        <b/>
        <sz val="9"/>
        <color rgb="FF2E75B6"/>
        <rFont val="Arial"/>
        <family val="2"/>
      </rPr>
      <t xml:space="preserve">
STc8, STc10</t>
    </r>
  </si>
  <si>
    <r>
      <rPr>
        <sz val="9"/>
        <color rgb="FF595959"/>
        <rFont val="Arial"/>
        <family val="2"/>
      </rPr>
      <t>c6, c11</t>
    </r>
    <r>
      <rPr>
        <b/>
        <sz val="9"/>
        <color rgb="FF2E75B6"/>
        <rFont val="Arial"/>
        <family val="2"/>
      </rPr>
      <t xml:space="preserve">
STc6, STc11</t>
    </r>
  </si>
  <si>
    <r>
      <rPr>
        <sz val="9"/>
        <color rgb="FF595959"/>
        <rFont val="Arial"/>
        <family val="2"/>
      </rPr>
      <t>c7</t>
    </r>
    <r>
      <rPr>
        <b/>
        <sz val="9"/>
        <color rgb="FF2E75B6"/>
        <rFont val="Arial"/>
        <family val="2"/>
      </rPr>
      <t xml:space="preserve">
STc7</t>
    </r>
  </si>
  <si>
    <r>
      <rPr>
        <sz val="9"/>
        <color rgb="FF595959"/>
        <rFont val="Arial"/>
        <family val="2"/>
      </rPr>
      <t>c3, c7</t>
    </r>
    <r>
      <rPr>
        <b/>
        <sz val="9"/>
        <color rgb="FF2E75B6"/>
        <rFont val="Arial"/>
        <family val="2"/>
      </rPr>
      <t xml:space="preserve">
STc3, STc7</t>
    </r>
  </si>
  <si>
    <r>
      <rPr>
        <sz val="9"/>
        <color rgb="FF595959"/>
        <rFont val="Arial"/>
        <family val="2"/>
      </rPr>
      <t>c4, c7</t>
    </r>
    <r>
      <rPr>
        <b/>
        <sz val="9"/>
        <color rgb="FF2E75B6"/>
        <rFont val="Arial"/>
        <family val="2"/>
      </rPr>
      <t xml:space="preserve">
STc4, STc7</t>
    </r>
  </si>
  <si>
    <r>
      <rPr>
        <sz val="9"/>
        <color rgb="FF595959"/>
        <rFont val="Arial"/>
        <family val="2"/>
      </rPr>
      <t>c7, c12</t>
    </r>
    <r>
      <rPr>
        <b/>
        <sz val="9"/>
        <color rgb="FF2E75B6"/>
        <rFont val="Arial"/>
        <family val="2"/>
      </rPr>
      <t xml:space="preserve">
STc7, STc12</t>
    </r>
  </si>
  <si>
    <r>
      <rPr>
        <sz val="9"/>
        <color rgb="FF595959"/>
        <rFont val="Arial"/>
        <family val="2"/>
      </rPr>
      <t>c4, c7</t>
    </r>
    <r>
      <rPr>
        <b/>
        <sz val="9"/>
        <color rgb="FF2E75B6"/>
        <rFont val="Arial"/>
        <family val="2"/>
      </rPr>
      <t xml:space="preserve">
STc4, STc7</t>
    </r>
  </si>
  <si>
    <r>
      <rPr>
        <sz val="9"/>
        <color rgb="FF595959"/>
        <rFont val="Arial"/>
        <family val="2"/>
      </rPr>
      <t>c11</t>
    </r>
    <r>
      <rPr>
        <b/>
        <sz val="9"/>
        <color rgb="FF2E75B6"/>
        <rFont val="Arial"/>
        <family val="2"/>
      </rPr>
      <t xml:space="preserve">
STc11</t>
    </r>
  </si>
  <si>
    <r>
      <rPr>
        <sz val="9"/>
        <color rgb="FF595959"/>
        <rFont val="Arial"/>
        <family val="2"/>
      </rPr>
      <t>c7</t>
    </r>
    <r>
      <rPr>
        <b/>
        <sz val="9"/>
        <color rgb="FF2E75B6"/>
        <rFont val="Arial"/>
        <family val="2"/>
      </rPr>
      <t xml:space="preserve">
STc7</t>
    </r>
  </si>
  <si>
    <r>
      <rPr>
        <sz val="9"/>
        <color rgb="FF595959"/>
        <rFont val="Arial"/>
        <family val="2"/>
      </rPr>
      <t>c10</t>
    </r>
    <r>
      <rPr>
        <b/>
        <sz val="9"/>
        <color rgb="FF2E75B6"/>
        <rFont val="Arial"/>
        <family val="2"/>
      </rPr>
      <t xml:space="preserve">
STc10</t>
    </r>
  </si>
  <si>
    <r>
      <rPr>
        <sz val="9"/>
        <color rgb="FF595959"/>
        <rFont val="Arial"/>
        <family val="2"/>
      </rPr>
      <t>c3, c6, c7</t>
    </r>
    <r>
      <rPr>
        <b/>
        <sz val="9"/>
        <color rgb="FF2E75B6"/>
        <rFont val="Arial"/>
        <family val="2"/>
      </rPr>
      <t xml:space="preserve">
STc3, STc6, STc7</t>
    </r>
  </si>
  <si>
    <r>
      <rPr>
        <sz val="9"/>
        <color rgb="FF595959"/>
        <rFont val="Arial"/>
        <family val="2"/>
      </rPr>
      <t>c3, c7</t>
    </r>
    <r>
      <rPr>
        <b/>
        <sz val="9"/>
        <color rgb="FF2E75B6"/>
        <rFont val="Arial"/>
        <family val="2"/>
      </rPr>
      <t xml:space="preserve">
STc3, STc7</t>
    </r>
  </si>
  <si>
    <r>
      <rPr>
        <sz val="9"/>
        <color rgb="FF595959"/>
        <rFont val="Arial"/>
        <family val="2"/>
      </rPr>
      <t>c3, c7</t>
    </r>
    <r>
      <rPr>
        <b/>
        <sz val="9"/>
        <color rgb="FF2E75B6"/>
        <rFont val="Arial"/>
        <family val="2"/>
      </rPr>
      <t xml:space="preserve">
STc3, STc7</t>
    </r>
  </si>
  <si>
    <r>
      <rPr>
        <sz val="9"/>
        <color rgb="FF595959"/>
        <rFont val="Arial"/>
        <family val="2"/>
      </rPr>
      <t>c3, c7</t>
    </r>
    <r>
      <rPr>
        <b/>
        <sz val="9"/>
        <color rgb="FF2E75B6"/>
        <rFont val="Arial"/>
        <family val="2"/>
      </rPr>
      <t xml:space="preserve">
STc3, STc7</t>
    </r>
  </si>
  <si>
    <r>
      <rPr>
        <sz val="9"/>
        <color rgb="FF595959"/>
        <rFont val="Arial"/>
        <family val="2"/>
      </rPr>
      <t>c10</t>
    </r>
    <r>
      <rPr>
        <b/>
        <sz val="9"/>
        <color rgb="FF2E75B6"/>
        <rFont val="Arial"/>
        <family val="2"/>
      </rPr>
      <t xml:space="preserve">
STc8, STc10</t>
    </r>
  </si>
  <si>
    <r>
      <rPr>
        <sz val="9"/>
        <color rgb="FF595959"/>
        <rFont val="Arial"/>
        <family val="2"/>
      </rPr>
      <t>c10</t>
    </r>
    <r>
      <rPr>
        <b/>
        <sz val="9"/>
        <color rgb="FF2E75B6"/>
        <rFont val="Arial"/>
        <family val="2"/>
      </rPr>
      <t xml:space="preserve">
STc8, STc10</t>
    </r>
  </si>
  <si>
    <r>
      <rPr>
        <sz val="9"/>
        <color rgb="FF595959"/>
        <rFont val="Arial"/>
        <family val="2"/>
      </rPr>
      <t>c6, c11</t>
    </r>
    <r>
      <rPr>
        <b/>
        <sz val="9"/>
        <color rgb="FF2E75B6"/>
        <rFont val="Arial"/>
        <family val="2"/>
      </rPr>
      <t xml:space="preserve">
STc6, STc11</t>
    </r>
  </si>
  <si>
    <r>
      <rPr>
        <sz val="9"/>
        <color rgb="FF595959"/>
        <rFont val="Arial"/>
        <family val="2"/>
      </rPr>
      <t>c3, c10</t>
    </r>
    <r>
      <rPr>
        <b/>
        <sz val="9"/>
        <color rgb="FF2E75B6"/>
        <rFont val="Arial"/>
        <family val="2"/>
      </rPr>
      <t xml:space="preserve">
STc3, STc10</t>
    </r>
  </si>
  <si>
    <r>
      <rPr>
        <sz val="9"/>
        <color rgb="FF595959"/>
        <rFont val="Arial"/>
        <family val="2"/>
      </rPr>
      <t>c6, c7</t>
    </r>
    <r>
      <rPr>
        <b/>
        <sz val="9"/>
        <color rgb="FF2E75B6"/>
        <rFont val="Arial"/>
        <family val="2"/>
      </rPr>
      <t xml:space="preserve">
STc6, STc7</t>
    </r>
  </si>
  <si>
    <r>
      <rPr>
        <sz val="9"/>
        <color rgb="FF595959"/>
        <rFont val="Arial"/>
        <family val="2"/>
      </rPr>
      <t>c6, c7</t>
    </r>
    <r>
      <rPr>
        <b/>
        <sz val="9"/>
        <color rgb="FF2E75B6"/>
        <rFont val="Arial"/>
        <family val="2"/>
      </rPr>
      <t xml:space="preserve">
STc6, STc7</t>
    </r>
  </si>
  <si>
    <r>
      <rPr>
        <sz val="9"/>
        <color rgb="FF595959"/>
        <rFont val="Arial"/>
        <family val="2"/>
      </rPr>
      <t>c7</t>
    </r>
    <r>
      <rPr>
        <b/>
        <sz val="9"/>
        <color rgb="FF2E75B6"/>
        <rFont val="Arial"/>
        <family val="2"/>
      </rPr>
      <t xml:space="preserve">
STc7</t>
    </r>
  </si>
  <si>
    <r>
      <rPr>
        <sz val="9"/>
        <color rgb="FF595959"/>
        <rFont val="Arial"/>
        <family val="2"/>
      </rPr>
      <t>c6, c10</t>
    </r>
    <r>
      <rPr>
        <b/>
        <sz val="9"/>
        <color rgb="FF2E75B6"/>
        <rFont val="Arial"/>
        <family val="2"/>
      </rPr>
      <t xml:space="preserve">
STc6, STc8, STc10</t>
    </r>
  </si>
  <si>
    <r>
      <rPr>
        <sz val="9"/>
        <color rgb="FF595959"/>
        <rFont val="Arial"/>
        <family val="2"/>
      </rPr>
      <t>c7, c12</t>
    </r>
    <r>
      <rPr>
        <b/>
        <sz val="9"/>
        <color rgb="FF2E75B6"/>
        <rFont val="Arial"/>
        <family val="2"/>
      </rPr>
      <t xml:space="preserve">
STc7, STc12</t>
    </r>
  </si>
  <si>
    <r>
      <rPr>
        <sz val="9"/>
        <color rgb="FF595959"/>
        <rFont val="Arial"/>
        <family val="2"/>
      </rPr>
      <t>c7, c9</t>
    </r>
    <r>
      <rPr>
        <b/>
        <sz val="9"/>
        <color rgb="FF2E75B6"/>
        <rFont val="Arial"/>
        <family val="2"/>
      </rPr>
      <t xml:space="preserve">
STc7, STc9</t>
    </r>
  </si>
  <si>
    <r>
      <rPr>
        <sz val="9"/>
        <color rgb="FF595959"/>
        <rFont val="Arial"/>
        <family val="2"/>
      </rPr>
      <t>c3, c12</t>
    </r>
    <r>
      <rPr>
        <b/>
        <sz val="9"/>
        <color rgb="FF2E75B6"/>
        <rFont val="Arial"/>
        <family val="2"/>
      </rPr>
      <t xml:space="preserve">
STc3, STc12</t>
    </r>
  </si>
  <si>
    <r>
      <rPr>
        <sz val="9"/>
        <color rgb="FF595959"/>
        <rFont val="Arial"/>
        <family val="2"/>
      </rPr>
      <t>c12</t>
    </r>
    <r>
      <rPr>
        <b/>
        <sz val="9"/>
        <color rgb="FF2E75B6"/>
        <rFont val="Arial"/>
        <family val="2"/>
      </rPr>
      <t xml:space="preserve">
STc12</t>
    </r>
  </si>
  <si>
    <r>
      <rPr>
        <sz val="9"/>
        <color rgb="FF595959"/>
        <rFont val="Arial"/>
        <family val="2"/>
      </rPr>
      <t>b4, c13</t>
    </r>
    <r>
      <rPr>
        <b/>
        <sz val="9"/>
        <color rgb="FF2E75B6"/>
        <rFont val="Arial"/>
        <family val="2"/>
      </rPr>
      <t xml:space="preserve">
STb3, STc13</t>
    </r>
  </si>
  <si>
    <r>
      <rPr>
        <sz val="9"/>
        <color rgb="FF595959"/>
        <rFont val="Arial"/>
        <family val="2"/>
      </rPr>
      <t>c10, c12</t>
    </r>
    <r>
      <rPr>
        <b/>
        <sz val="9"/>
        <color rgb="FF2E75B6"/>
        <rFont val="Arial"/>
        <family val="2"/>
      </rPr>
      <t xml:space="preserve">
STc10, STc12</t>
    </r>
  </si>
  <si>
    <r>
      <rPr>
        <sz val="9"/>
        <color rgb="FF595959"/>
        <rFont val="Arial"/>
        <family val="2"/>
      </rPr>
      <t>c10</t>
    </r>
    <r>
      <rPr>
        <b/>
        <sz val="9"/>
        <color rgb="FF2E75B6"/>
        <rFont val="Arial"/>
        <family val="2"/>
      </rPr>
      <t xml:space="preserve">
STc10</t>
    </r>
  </si>
  <si>
    <r>
      <rPr>
        <sz val="9"/>
        <color rgb="FF595959"/>
        <rFont val="Arial"/>
        <family val="2"/>
      </rPr>
      <t>c6</t>
    </r>
    <r>
      <rPr>
        <b/>
        <sz val="9"/>
        <color rgb="FF2E75B6"/>
        <rFont val="Arial"/>
        <family val="2"/>
      </rPr>
      <t xml:space="preserve">
STc6</t>
    </r>
  </si>
  <si>
    <r>
      <rPr>
        <sz val="9"/>
        <color rgb="FF595959"/>
        <rFont val="Arial"/>
        <family val="2"/>
      </rPr>
      <t>c6, c9</t>
    </r>
    <r>
      <rPr>
        <b/>
        <sz val="9"/>
        <color rgb="FF2E75B6"/>
        <rFont val="Arial"/>
        <family val="2"/>
      </rPr>
      <t xml:space="preserve">
STc6, STc9</t>
    </r>
  </si>
  <si>
    <r>
      <rPr>
        <sz val="9"/>
        <color rgb="FF595959"/>
        <rFont val="Arial"/>
        <family val="2"/>
      </rPr>
      <t>c6, c8</t>
    </r>
    <r>
      <rPr>
        <b/>
        <sz val="9"/>
        <color rgb="FF2E75B6"/>
        <rFont val="Arial"/>
        <family val="2"/>
      </rPr>
      <t xml:space="preserve">
STc6, STc8</t>
    </r>
  </si>
  <si>
    <r>
      <rPr>
        <sz val="9"/>
        <color rgb="FF595959"/>
        <rFont val="Arial"/>
        <family val="2"/>
      </rPr>
      <t>c6, c10</t>
    </r>
    <r>
      <rPr>
        <b/>
        <sz val="9"/>
        <color rgb="FF2E75B6"/>
        <rFont val="Arial"/>
        <family val="2"/>
      </rPr>
      <t xml:space="preserve">
STc6, STc8, STc10</t>
    </r>
  </si>
  <si>
    <r>
      <rPr>
        <sz val="9"/>
        <color rgb="FF595959"/>
        <rFont val="Arial"/>
        <family val="2"/>
      </rPr>
      <t>c6</t>
    </r>
    <r>
      <rPr>
        <b/>
        <sz val="9"/>
        <color rgb="FF2E75B6"/>
        <rFont val="Arial"/>
        <family val="2"/>
      </rPr>
      <t xml:space="preserve">
STc6</t>
    </r>
  </si>
  <si>
    <r>
      <rPr>
        <sz val="9"/>
        <color rgb="FF595959"/>
        <rFont val="Arial"/>
        <family val="2"/>
      </rPr>
      <t>c6</t>
    </r>
    <r>
      <rPr>
        <b/>
        <sz val="9"/>
        <color rgb="FF2E75B6"/>
        <rFont val="Arial"/>
        <family val="2"/>
      </rPr>
      <t xml:space="preserve">
STc6</t>
    </r>
  </si>
  <si>
    <r>
      <rPr>
        <sz val="9"/>
        <color rgb="FF595959"/>
        <rFont val="Arial"/>
        <family val="2"/>
      </rPr>
      <t>c6, c11</t>
    </r>
    <r>
      <rPr>
        <b/>
        <sz val="9"/>
        <color rgb="FF2E75B6"/>
        <rFont val="Arial"/>
        <family val="2"/>
      </rPr>
      <t xml:space="preserve">
STc6, STc11</t>
    </r>
  </si>
  <si>
    <r>
      <rPr>
        <sz val="9"/>
        <color rgb="FF595959"/>
        <rFont val="Arial"/>
        <family val="2"/>
      </rPr>
      <t>c3, c6, c9</t>
    </r>
    <r>
      <rPr>
        <b/>
        <sz val="9"/>
        <color rgb="FF2E75B6"/>
        <rFont val="Arial"/>
        <family val="2"/>
      </rPr>
      <t xml:space="preserve">
STc3, STc6, STc9</t>
    </r>
  </si>
  <si>
    <r>
      <rPr>
        <sz val="9"/>
        <color rgb="FF595959"/>
        <rFont val="Arial"/>
        <family val="2"/>
      </rPr>
      <t>c3, c6</t>
    </r>
    <r>
      <rPr>
        <b/>
        <sz val="9"/>
        <color rgb="FF2E75B6"/>
        <rFont val="Arial"/>
        <family val="2"/>
      </rPr>
      <t xml:space="preserve">
STc3, STc6</t>
    </r>
  </si>
  <si>
    <r>
      <rPr>
        <sz val="9"/>
        <color rgb="FF595959"/>
        <rFont val="Arial"/>
        <family val="2"/>
      </rPr>
      <t>c6</t>
    </r>
    <r>
      <rPr>
        <b/>
        <sz val="9"/>
        <color rgb="FF2E75B6"/>
        <rFont val="Arial"/>
        <family val="2"/>
      </rPr>
      <t xml:space="preserve">
STc6</t>
    </r>
  </si>
  <si>
    <r>
      <rPr>
        <sz val="9"/>
        <color rgb="FF595959"/>
        <rFont val="Arial"/>
        <family val="2"/>
      </rPr>
      <t>c1, c6</t>
    </r>
    <r>
      <rPr>
        <b/>
        <sz val="9"/>
        <color rgb="FF2E75B6"/>
        <rFont val="Arial"/>
        <family val="2"/>
      </rPr>
      <t xml:space="preserve">
STc1, STc6</t>
    </r>
  </si>
  <si>
    <r>
      <rPr>
        <sz val="9"/>
        <color rgb="FF595959"/>
        <rFont val="Arial"/>
        <family val="2"/>
      </rPr>
      <t>c6, c8</t>
    </r>
    <r>
      <rPr>
        <b/>
        <sz val="9"/>
        <color rgb="FF2E75B6"/>
        <rFont val="Arial"/>
        <family val="2"/>
      </rPr>
      <t xml:space="preserve">
STc6, STc8</t>
    </r>
  </si>
  <si>
    <r>
      <rPr>
        <sz val="9"/>
        <color rgb="FF595959"/>
        <rFont val="Arial"/>
        <family val="2"/>
      </rPr>
      <t>c6, c7</t>
    </r>
    <r>
      <rPr>
        <b/>
        <sz val="9"/>
        <color rgb="FF2E75B6"/>
        <rFont val="Arial"/>
        <family val="2"/>
      </rPr>
      <t xml:space="preserve">
STc6, STc7</t>
    </r>
  </si>
  <si>
    <r>
      <rPr>
        <sz val="9"/>
        <color rgb="FF595959"/>
        <rFont val="Arial"/>
        <family val="2"/>
      </rPr>
      <t>c6</t>
    </r>
    <r>
      <rPr>
        <b/>
        <sz val="9"/>
        <color rgb="FF2E75B6"/>
        <rFont val="Arial"/>
        <family val="2"/>
      </rPr>
      <t xml:space="preserve">
STc6</t>
    </r>
  </si>
  <si>
    <r>
      <rPr>
        <sz val="9"/>
        <color rgb="FF595959"/>
        <rFont val="Arial"/>
        <family val="2"/>
      </rPr>
      <t>c6</t>
    </r>
    <r>
      <rPr>
        <b/>
        <sz val="9"/>
        <color rgb="FF2E75B6"/>
        <rFont val="Arial"/>
        <family val="2"/>
      </rPr>
      <t xml:space="preserve">
STc6</t>
    </r>
  </si>
  <si>
    <r>
      <rPr>
        <sz val="9"/>
        <color rgb="FF595959"/>
        <rFont val="Arial"/>
        <family val="2"/>
      </rPr>
      <t>c6, c11</t>
    </r>
    <r>
      <rPr>
        <b/>
        <sz val="9"/>
        <color rgb="FF2E75B6"/>
        <rFont val="Arial"/>
        <family val="2"/>
      </rPr>
      <t xml:space="preserve">
STc6, STc11</t>
    </r>
  </si>
  <si>
    <r>
      <rPr>
        <sz val="9"/>
        <color rgb="FF595959"/>
        <rFont val="Arial"/>
        <family val="2"/>
      </rPr>
      <t>c6</t>
    </r>
    <r>
      <rPr>
        <b/>
        <sz val="9"/>
        <color rgb="FF2E75B6"/>
        <rFont val="Arial"/>
        <family val="2"/>
      </rPr>
      <t xml:space="preserve">
STc6</t>
    </r>
  </si>
  <si>
    <r>
      <rPr>
        <sz val="9"/>
        <color rgb="FF595959"/>
        <rFont val="Arial"/>
        <family val="2"/>
      </rPr>
      <t>c6, c7</t>
    </r>
    <r>
      <rPr>
        <b/>
        <sz val="9"/>
        <color rgb="FF2E75B6"/>
        <rFont val="Arial"/>
        <family val="2"/>
      </rPr>
      <t xml:space="preserve">
STc6, STc7</t>
    </r>
  </si>
  <si>
    <r>
      <rPr>
        <sz val="9"/>
        <color rgb="FF595959"/>
        <rFont val="Arial"/>
        <family val="2"/>
      </rPr>
      <t>c4, c6</t>
    </r>
    <r>
      <rPr>
        <b/>
        <sz val="9"/>
        <color rgb="FF2E75B6"/>
        <rFont val="Arial"/>
        <family val="2"/>
      </rPr>
      <t xml:space="preserve">
STc4, STc6</t>
    </r>
  </si>
  <si>
    <r>
      <rPr>
        <sz val="9"/>
        <color rgb="FF595959"/>
        <rFont val="Arial"/>
        <family val="2"/>
      </rPr>
      <t>b5, c5, c6</t>
    </r>
    <r>
      <rPr>
        <b/>
        <sz val="9"/>
        <color rgb="FF2E75B6"/>
        <rFont val="Arial"/>
        <family val="2"/>
      </rPr>
      <t xml:space="preserve">
STb4, STc5, STc6</t>
    </r>
  </si>
  <si>
    <r>
      <rPr>
        <sz val="9"/>
        <color rgb="FF595959"/>
        <rFont val="Arial"/>
        <family val="2"/>
      </rPr>
      <t>c6</t>
    </r>
    <r>
      <rPr>
        <b/>
        <sz val="9"/>
        <color rgb="FF2E75B6"/>
        <rFont val="Arial"/>
        <family val="2"/>
      </rPr>
      <t xml:space="preserve">
STc6</t>
    </r>
  </si>
  <si>
    <r>
      <rPr>
        <sz val="9"/>
        <color rgb="FF595959"/>
        <rFont val="Arial"/>
        <family val="2"/>
      </rPr>
      <t>c3, c6, c9</t>
    </r>
    <r>
      <rPr>
        <b/>
        <sz val="9"/>
        <color rgb="FF2E75B6"/>
        <rFont val="Arial"/>
        <family val="2"/>
      </rPr>
      <t xml:space="preserve">
STc3, STc6, STc9</t>
    </r>
  </si>
  <si>
    <r>
      <rPr>
        <sz val="9"/>
        <color rgb="FF595959"/>
        <rFont val="Arial"/>
        <family val="2"/>
      </rPr>
      <t>c3, c6, c7</t>
    </r>
    <r>
      <rPr>
        <b/>
        <sz val="9"/>
        <color rgb="FF2E75B6"/>
        <rFont val="Arial"/>
        <family val="2"/>
      </rPr>
      <t xml:space="preserve">
STc3, STc6, STc7</t>
    </r>
  </si>
  <si>
    <r>
      <rPr>
        <sz val="9"/>
        <color rgb="FF595959"/>
        <rFont val="Arial"/>
        <family val="2"/>
      </rPr>
      <t>c3, c6, c8</t>
    </r>
    <r>
      <rPr>
        <b/>
        <sz val="9"/>
        <color rgb="FF2E75B6"/>
        <rFont val="Arial"/>
        <family val="2"/>
      </rPr>
      <t xml:space="preserve">
STc3, STc6, STc8</t>
    </r>
  </si>
  <si>
    <r>
      <rPr>
        <sz val="9"/>
        <color rgb="FF595959"/>
        <rFont val="Arial"/>
        <family val="2"/>
      </rPr>
      <t>c3, c6</t>
    </r>
    <r>
      <rPr>
        <b/>
        <sz val="9"/>
        <color rgb="FF2E75B6"/>
        <rFont val="Arial"/>
        <family val="2"/>
      </rPr>
      <t xml:space="preserve">
STc3, STc6</t>
    </r>
  </si>
  <si>
    <r>
      <rPr>
        <sz val="9"/>
        <color rgb="FF595959"/>
        <rFont val="Arial"/>
        <family val="2"/>
      </rPr>
      <t>c6, c11</t>
    </r>
    <r>
      <rPr>
        <b/>
        <sz val="9"/>
        <color rgb="FF2E75B6"/>
        <rFont val="Arial"/>
        <family val="2"/>
      </rPr>
      <t xml:space="preserve">
STc6, STc11</t>
    </r>
  </si>
  <si>
    <r>
      <rPr>
        <sz val="9"/>
        <color rgb="FF595959"/>
        <rFont val="Arial"/>
        <family val="2"/>
      </rPr>
      <t>c6</t>
    </r>
    <r>
      <rPr>
        <b/>
        <sz val="9"/>
        <color rgb="FF2E75B6"/>
        <rFont val="Arial"/>
        <family val="2"/>
      </rPr>
      <t xml:space="preserve">
STc6</t>
    </r>
  </si>
  <si>
    <r>
      <rPr>
        <sz val="9"/>
        <color rgb="FF595959"/>
        <rFont val="Arial"/>
        <family val="2"/>
      </rPr>
      <t>c6</t>
    </r>
    <r>
      <rPr>
        <b/>
        <sz val="9"/>
        <color rgb="FF2E75B6"/>
        <rFont val="Arial"/>
        <family val="2"/>
      </rPr>
      <t xml:space="preserve">
STc6</t>
    </r>
  </si>
  <si>
    <r>
      <rPr>
        <sz val="9"/>
        <color rgb="FF595959"/>
        <rFont val="Arial"/>
        <family val="2"/>
      </rPr>
      <t>c3, c6</t>
    </r>
    <r>
      <rPr>
        <b/>
        <sz val="9"/>
        <color rgb="FF2E75B6"/>
        <rFont val="Arial"/>
        <family val="2"/>
      </rPr>
      <t xml:space="preserve">
STc3, STc6</t>
    </r>
  </si>
  <si>
    <r>
      <rPr>
        <sz val="9"/>
        <color rgb="FF595959"/>
        <rFont val="Arial"/>
        <family val="2"/>
      </rPr>
      <t>c6, c9</t>
    </r>
    <r>
      <rPr>
        <b/>
        <sz val="9"/>
        <color rgb="FF2E75B6"/>
        <rFont val="Arial"/>
        <family val="2"/>
      </rPr>
      <t xml:space="preserve">
STc6, STc9</t>
    </r>
  </si>
  <si>
    <r>
      <rPr>
        <sz val="9"/>
        <color rgb="FF595959"/>
        <rFont val="Arial"/>
        <family val="2"/>
      </rPr>
      <t>c6, c8</t>
    </r>
    <r>
      <rPr>
        <b/>
        <sz val="9"/>
        <color rgb="FF2E75B6"/>
        <rFont val="Arial"/>
        <family val="2"/>
      </rPr>
      <t xml:space="preserve">
STc6, STc8</t>
    </r>
  </si>
  <si>
    <r>
      <rPr>
        <b/>
        <sz val="9"/>
        <color rgb="FF595959"/>
        <rFont val="Arial"/>
        <family val="2"/>
      </rPr>
      <t xml:space="preserve">2015:  </t>
    </r>
    <r>
      <rPr>
        <sz val="9"/>
        <color rgb="FF595959"/>
        <rFont val="Arial"/>
        <family val="2"/>
      </rPr>
      <t>b5, c1, c3–c12</t>
    </r>
    <r>
      <rPr>
        <b/>
        <sz val="9"/>
        <color rgb="FF2E75B6"/>
        <rFont val="Arial"/>
        <family val="2"/>
      </rPr>
      <t xml:space="preserve">
2022:  </t>
    </r>
    <r>
      <rPr>
        <sz val="9"/>
        <color rgb="FF2E75B6"/>
        <rFont val="Arial"/>
        <family val="2"/>
      </rPr>
      <t>STb4, STc1, STc3–STc12</t>
    </r>
  </si>
  <si>
    <r>
      <rPr>
        <sz val="9"/>
        <color rgb="FF595959"/>
        <rFont val="Arial"/>
        <family val="2"/>
      </rPr>
      <t>c8</t>
    </r>
    <r>
      <rPr>
        <b/>
        <sz val="9"/>
        <color rgb="FF2E75B6"/>
        <rFont val="Arial"/>
        <family val="2"/>
      </rPr>
      <t xml:space="preserve">
STc8</t>
    </r>
  </si>
  <si>
    <r>
      <rPr>
        <sz val="9"/>
        <color rgb="FF595959"/>
        <rFont val="Arial"/>
        <family val="2"/>
      </rPr>
      <t>c8</t>
    </r>
    <r>
      <rPr>
        <b/>
        <sz val="9"/>
        <color rgb="FF2E75B6"/>
        <rFont val="Arial"/>
        <family val="2"/>
      </rPr>
      <t xml:space="preserve">
STc8</t>
    </r>
  </si>
  <si>
    <r>
      <rPr>
        <sz val="9"/>
        <color rgb="FF595959"/>
        <rFont val="Arial"/>
        <family val="2"/>
      </rPr>
      <t>c8</t>
    </r>
    <r>
      <rPr>
        <b/>
        <sz val="9"/>
        <color rgb="FF2E75B6"/>
        <rFont val="Arial"/>
        <family val="2"/>
      </rPr>
      <t xml:space="preserve">
STc8</t>
    </r>
  </si>
  <si>
    <r>
      <rPr>
        <sz val="9"/>
        <color rgb="FF595959"/>
        <rFont val="Arial"/>
        <family val="2"/>
      </rPr>
      <t>c8</t>
    </r>
    <r>
      <rPr>
        <b/>
        <sz val="9"/>
        <color rgb="FF2E75B6"/>
        <rFont val="Arial"/>
        <family val="2"/>
      </rPr>
      <t xml:space="preserve">
STc8</t>
    </r>
  </si>
  <si>
    <r>
      <rPr>
        <sz val="9"/>
        <color rgb="FF595959"/>
        <rFont val="Arial"/>
        <family val="2"/>
      </rPr>
      <t>c3, c8</t>
    </r>
    <r>
      <rPr>
        <b/>
        <sz val="9"/>
        <color rgb="FF2E75B6"/>
        <rFont val="Arial"/>
        <family val="2"/>
      </rPr>
      <t xml:space="preserve">
STc3, STc8</t>
    </r>
  </si>
  <si>
    <r>
      <rPr>
        <sz val="9"/>
        <color rgb="FF595959"/>
        <rFont val="Arial"/>
        <family val="2"/>
      </rPr>
      <t>c8</t>
    </r>
    <r>
      <rPr>
        <b/>
        <sz val="9"/>
        <color rgb="FF2E75B6"/>
        <rFont val="Arial"/>
        <family val="2"/>
      </rPr>
      <t xml:space="preserve">
STc8</t>
    </r>
  </si>
  <si>
    <r>
      <rPr>
        <sz val="9"/>
        <color rgb="FF595959"/>
        <rFont val="Arial"/>
        <family val="2"/>
      </rPr>
      <t>c8</t>
    </r>
    <r>
      <rPr>
        <b/>
        <sz val="9"/>
        <color rgb="FF2E75B6"/>
        <rFont val="Arial"/>
        <family val="2"/>
      </rPr>
      <t xml:space="preserve">
STc8</t>
    </r>
  </si>
  <si>
    <r>
      <rPr>
        <sz val="9"/>
        <color rgb="FF595959"/>
        <rFont val="Arial"/>
        <family val="2"/>
      </rPr>
      <t>c8, c10</t>
    </r>
    <r>
      <rPr>
        <b/>
        <sz val="9"/>
        <color rgb="FF2E75B6"/>
        <rFont val="Arial"/>
        <family val="2"/>
      </rPr>
      <t xml:space="preserve">
STc8, STc10</t>
    </r>
  </si>
  <si>
    <r>
      <rPr>
        <sz val="9"/>
        <color rgb="FF595959"/>
        <rFont val="Arial"/>
        <family val="2"/>
      </rPr>
      <t>c10</t>
    </r>
    <r>
      <rPr>
        <b/>
        <sz val="9"/>
        <color rgb="FF2E75B6"/>
        <rFont val="Arial"/>
        <family val="2"/>
      </rPr>
      <t xml:space="preserve">
STc10</t>
    </r>
  </si>
  <si>
    <r>
      <rPr>
        <sz val="9"/>
        <color rgb="FF595959"/>
        <rFont val="Arial"/>
        <family val="2"/>
      </rPr>
      <t>c10</t>
    </r>
    <r>
      <rPr>
        <b/>
        <sz val="9"/>
        <color rgb="FF2E75B6"/>
        <rFont val="Arial"/>
        <family val="2"/>
      </rPr>
      <t xml:space="preserve">
STc10</t>
    </r>
  </si>
  <si>
    <r>
      <rPr>
        <sz val="9"/>
        <color rgb="FF595959"/>
        <rFont val="Arial"/>
        <family val="2"/>
      </rPr>
      <t>c8</t>
    </r>
    <r>
      <rPr>
        <b/>
        <sz val="9"/>
        <color rgb="FF2E75B6"/>
        <rFont val="Arial"/>
        <family val="2"/>
      </rPr>
      <t xml:space="preserve">
STc8</t>
    </r>
  </si>
  <si>
    <r>
      <rPr>
        <sz val="9"/>
        <color rgb="FF595959"/>
        <rFont val="Arial"/>
        <family val="2"/>
      </rPr>
      <t>c8</t>
    </r>
    <r>
      <rPr>
        <b/>
        <sz val="9"/>
        <color rgb="FF2E75B6"/>
        <rFont val="Arial"/>
        <family val="2"/>
      </rPr>
      <t xml:space="preserve">
STc8</t>
    </r>
  </si>
  <si>
    <r>
      <rPr>
        <sz val="9"/>
        <color rgb="FF595959"/>
        <rFont val="Arial"/>
        <family val="2"/>
      </rPr>
      <t>c8, c10</t>
    </r>
    <r>
      <rPr>
        <b/>
        <sz val="9"/>
        <color rgb="FF2E75B6"/>
        <rFont val="Arial"/>
        <family val="2"/>
      </rPr>
      <t xml:space="preserve">
STc8, STc10</t>
    </r>
  </si>
  <si>
    <r>
      <rPr>
        <sz val="9"/>
        <color rgb="FF595959"/>
        <rFont val="Arial"/>
        <family val="2"/>
      </rPr>
      <t>c8</t>
    </r>
    <r>
      <rPr>
        <b/>
        <sz val="9"/>
        <color rgb="FF2E75B6"/>
        <rFont val="Arial"/>
        <family val="2"/>
      </rPr>
      <t xml:space="preserve">
STc8</t>
    </r>
  </si>
  <si>
    <r>
      <rPr>
        <sz val="9"/>
        <color rgb="FF595959"/>
        <rFont val="Arial"/>
        <family val="2"/>
      </rPr>
      <t>c10</t>
    </r>
    <r>
      <rPr>
        <b/>
        <sz val="9"/>
        <color rgb="FF2E75B6"/>
        <rFont val="Arial"/>
        <family val="2"/>
      </rPr>
      <t xml:space="preserve">
STc10</t>
    </r>
  </si>
  <si>
    <r>
      <rPr>
        <sz val="9"/>
        <color rgb="FF595959"/>
        <rFont val="Arial"/>
        <family val="2"/>
      </rPr>
      <t>c4, c8</t>
    </r>
    <r>
      <rPr>
        <b/>
        <sz val="9"/>
        <color rgb="FF2E75B6"/>
        <rFont val="Arial"/>
        <family val="2"/>
      </rPr>
      <t xml:space="preserve">
STc4, STc8</t>
    </r>
  </si>
  <si>
    <r>
      <rPr>
        <sz val="9"/>
        <color rgb="FF595959"/>
        <rFont val="Arial"/>
        <family val="2"/>
      </rPr>
      <t>b5, c5, c8</t>
    </r>
    <r>
      <rPr>
        <b/>
        <sz val="9"/>
        <color rgb="FF2E75B6"/>
        <rFont val="Arial"/>
        <family val="2"/>
      </rPr>
      <t xml:space="preserve">
STb4, STc5, STc8</t>
    </r>
  </si>
  <si>
    <r>
      <rPr>
        <sz val="9"/>
        <color rgb="FF595959"/>
        <rFont val="Arial"/>
        <family val="2"/>
      </rPr>
      <t>c10</t>
    </r>
    <r>
      <rPr>
        <b/>
        <sz val="9"/>
        <color rgb="FF2E75B6"/>
        <rFont val="Arial"/>
        <family val="2"/>
      </rPr>
      <t xml:space="preserve">
STc10</t>
    </r>
  </si>
  <si>
    <r>
      <rPr>
        <sz val="9"/>
        <color rgb="FF595959"/>
        <rFont val="Arial"/>
        <family val="2"/>
      </rPr>
      <t>c10</t>
    </r>
    <r>
      <rPr>
        <b/>
        <sz val="9"/>
        <color rgb="FF2E75B6"/>
        <rFont val="Arial"/>
        <family val="2"/>
      </rPr>
      <t xml:space="preserve">
STc10</t>
    </r>
  </si>
  <si>
    <r>
      <rPr>
        <sz val="9"/>
        <color rgb="FF595959"/>
        <rFont val="Arial"/>
        <family val="2"/>
      </rPr>
      <t>c8</t>
    </r>
    <r>
      <rPr>
        <b/>
        <sz val="9"/>
        <color rgb="FF2E75B6"/>
        <rFont val="Arial"/>
        <family val="2"/>
      </rPr>
      <t xml:space="preserve">
STc8</t>
    </r>
  </si>
  <si>
    <r>
      <rPr>
        <sz val="9"/>
        <color rgb="FF595959"/>
        <rFont val="Arial"/>
        <family val="2"/>
      </rPr>
      <t>c3, c8</t>
    </r>
    <r>
      <rPr>
        <b/>
        <sz val="9"/>
        <color rgb="FF2E75B6"/>
        <rFont val="Arial"/>
        <family val="2"/>
      </rPr>
      <t xml:space="preserve">
STc3, STc8</t>
    </r>
  </si>
  <si>
    <r>
      <rPr>
        <sz val="9"/>
        <color rgb="FF595959"/>
        <rFont val="Arial"/>
        <family val="2"/>
      </rPr>
      <t>c3, c8</t>
    </r>
    <r>
      <rPr>
        <b/>
        <sz val="9"/>
        <color rgb="FF2E75B6"/>
        <rFont val="Arial"/>
        <family val="2"/>
      </rPr>
      <t xml:space="preserve">
STc3, STc8</t>
    </r>
  </si>
  <si>
    <r>
      <rPr>
        <sz val="9"/>
        <color rgb="FF595959"/>
        <rFont val="Arial"/>
        <family val="2"/>
      </rPr>
      <t>c8</t>
    </r>
    <r>
      <rPr>
        <b/>
        <sz val="9"/>
        <color rgb="FF2E75B6"/>
        <rFont val="Arial"/>
        <family val="2"/>
      </rPr>
      <t xml:space="preserve">
STc8</t>
    </r>
  </si>
  <si>
    <r>
      <rPr>
        <sz val="9"/>
        <color rgb="FF595959"/>
        <rFont val="Arial"/>
        <family val="2"/>
      </rPr>
      <t>c3, c10</t>
    </r>
    <r>
      <rPr>
        <b/>
        <sz val="9"/>
        <color rgb="FF2E75B6"/>
        <rFont val="Arial"/>
        <family val="2"/>
      </rPr>
      <t xml:space="preserve">
STc3, STc10</t>
    </r>
  </si>
  <si>
    <r>
      <rPr>
        <sz val="9"/>
        <color rgb="FF595959"/>
        <rFont val="Arial"/>
        <family val="2"/>
      </rPr>
      <t>c8</t>
    </r>
    <r>
      <rPr>
        <b/>
        <sz val="9"/>
        <color rgb="FF2E75B6"/>
        <rFont val="Arial"/>
        <family val="2"/>
      </rPr>
      <t xml:space="preserve">
STc8</t>
    </r>
  </si>
  <si>
    <r>
      <rPr>
        <sz val="9"/>
        <color rgb="FF595959"/>
        <rFont val="Arial"/>
        <family val="2"/>
      </rPr>
      <t>c8</t>
    </r>
    <r>
      <rPr>
        <b/>
        <sz val="9"/>
        <color rgb="FF2E75B6"/>
        <rFont val="Arial"/>
        <family val="2"/>
      </rPr>
      <t xml:space="preserve">
STc8</t>
    </r>
  </si>
  <si>
    <r>
      <rPr>
        <sz val="9"/>
        <color rgb="FF595959"/>
        <rFont val="Arial"/>
        <family val="2"/>
      </rPr>
      <t>c8, c10</t>
    </r>
    <r>
      <rPr>
        <b/>
        <sz val="9"/>
        <color rgb="FF2E75B6"/>
        <rFont val="Arial"/>
        <family val="2"/>
      </rPr>
      <t xml:space="preserve">
STc8, STc10</t>
    </r>
  </si>
  <si>
    <r>
      <rPr>
        <sz val="9"/>
        <color rgb="FF595959"/>
        <rFont val="Arial"/>
        <family val="2"/>
      </rPr>
      <t>c8</t>
    </r>
    <r>
      <rPr>
        <b/>
        <sz val="9"/>
        <color rgb="FF2E75B6"/>
        <rFont val="Arial"/>
        <family val="2"/>
      </rPr>
      <t xml:space="preserve">
STc8</t>
    </r>
  </si>
  <si>
    <r>
      <rPr>
        <sz val="9"/>
        <color rgb="FF595959"/>
        <rFont val="Arial"/>
        <family val="2"/>
      </rPr>
      <t>c8, c10</t>
    </r>
    <r>
      <rPr>
        <b/>
        <sz val="9"/>
        <color rgb="FF2E75B6"/>
        <rFont val="Arial"/>
        <family val="2"/>
      </rPr>
      <t xml:space="preserve">
STc8, STc10</t>
    </r>
  </si>
  <si>
    <r>
      <rPr>
        <sz val="9"/>
        <color rgb="FF595959"/>
        <rFont val="Arial"/>
        <family val="2"/>
      </rPr>
      <t>c8</t>
    </r>
    <r>
      <rPr>
        <b/>
        <sz val="9"/>
        <color rgb="FF2E75B6"/>
        <rFont val="Arial"/>
        <family val="2"/>
      </rPr>
      <t xml:space="preserve">
STc8</t>
    </r>
  </si>
  <si>
    <r>
      <rPr>
        <sz val="9"/>
        <color rgb="FF595959"/>
        <rFont val="Arial"/>
        <family val="2"/>
      </rPr>
      <t>c3, c8, c10</t>
    </r>
    <r>
      <rPr>
        <b/>
        <sz val="9"/>
        <color rgb="FF2E75B6"/>
        <rFont val="Arial"/>
        <family val="2"/>
      </rPr>
      <t xml:space="preserve">
STc3, STc8, STc10</t>
    </r>
  </si>
  <si>
    <r>
      <rPr>
        <sz val="9"/>
        <color rgb="FF595959"/>
        <rFont val="Arial"/>
        <family val="2"/>
      </rPr>
      <t>b2, c8, c12</t>
    </r>
    <r>
      <rPr>
        <b/>
        <sz val="9"/>
        <color rgb="FF2E75B6"/>
        <rFont val="Arial"/>
        <family val="2"/>
      </rPr>
      <t xml:space="preserve">
STb2, STc8, STc12</t>
    </r>
  </si>
  <si>
    <r>
      <rPr>
        <sz val="9"/>
        <color rgb="FF595959"/>
        <rFont val="Arial"/>
        <family val="2"/>
      </rPr>
      <t>c10</t>
    </r>
    <r>
      <rPr>
        <b/>
        <sz val="9"/>
        <color rgb="FF2E75B6"/>
        <rFont val="Arial"/>
        <family val="2"/>
      </rPr>
      <t xml:space="preserve">
STc10</t>
    </r>
  </si>
  <si>
    <r>
      <rPr>
        <b/>
        <sz val="9"/>
        <color rgb="FF595959"/>
        <rFont val="Arial"/>
        <family val="2"/>
      </rPr>
      <t xml:space="preserve">2015:  </t>
    </r>
    <r>
      <rPr>
        <sz val="9"/>
        <color rgb="FF595959"/>
        <rFont val="Arial"/>
        <family val="2"/>
      </rPr>
      <t>b1–b3, b5, c1–c6, c8, c10, c12</t>
    </r>
    <r>
      <rPr>
        <b/>
        <sz val="9"/>
        <color rgb="FF2E75B6"/>
        <rFont val="Arial"/>
        <family val="2"/>
      </rPr>
      <t xml:space="preserve">
2022:  </t>
    </r>
    <r>
      <rPr>
        <sz val="9"/>
        <color rgb="FF2E75B6"/>
        <rFont val="Arial"/>
        <family val="2"/>
      </rPr>
      <t>STb1, STb2, STb4, STc1–STc6, STc8, STc10, STc12</t>
    </r>
  </si>
  <si>
    <r>
      <rPr>
        <sz val="9"/>
        <color rgb="FF595959"/>
        <rFont val="Arial"/>
        <family val="2"/>
      </rPr>
      <t>c9</t>
    </r>
    <r>
      <rPr>
        <b/>
        <sz val="9"/>
        <color rgb="FF2E75B6"/>
        <rFont val="Arial"/>
        <family val="2"/>
      </rPr>
      <t xml:space="preserve">
STc9</t>
    </r>
  </si>
  <si>
    <r>
      <rPr>
        <sz val="9"/>
        <color rgb="FF595959"/>
        <rFont val="Arial"/>
        <family val="2"/>
      </rPr>
      <t>c9</t>
    </r>
    <r>
      <rPr>
        <b/>
        <sz val="9"/>
        <color rgb="FF2E75B6"/>
        <rFont val="Arial"/>
        <family val="2"/>
      </rPr>
      <t xml:space="preserve">
STc9</t>
    </r>
  </si>
  <si>
    <r>
      <rPr>
        <sz val="9"/>
        <color rgb="FF595959"/>
        <rFont val="Arial"/>
        <family val="2"/>
      </rPr>
      <t>c9</t>
    </r>
    <r>
      <rPr>
        <b/>
        <sz val="9"/>
        <color rgb="FF2E75B6"/>
        <rFont val="Arial"/>
        <family val="2"/>
      </rPr>
      <t xml:space="preserve">
STc9</t>
    </r>
  </si>
  <si>
    <r>
      <rPr>
        <sz val="9"/>
        <color rgb="FF595959"/>
        <rFont val="Arial"/>
        <family val="2"/>
      </rPr>
      <t>c9</t>
    </r>
    <r>
      <rPr>
        <b/>
        <sz val="9"/>
        <color rgb="FF2E75B6"/>
        <rFont val="Arial"/>
        <family val="2"/>
      </rPr>
      <t xml:space="preserve">
STc9</t>
    </r>
  </si>
  <si>
    <r>
      <rPr>
        <sz val="9"/>
        <color rgb="FF595959"/>
        <rFont val="Arial"/>
        <family val="2"/>
      </rPr>
      <t>c9</t>
    </r>
    <r>
      <rPr>
        <b/>
        <sz val="9"/>
        <color rgb="FF2E75B6"/>
        <rFont val="Arial"/>
        <family val="2"/>
      </rPr>
      <t xml:space="preserve">
STc9</t>
    </r>
  </si>
  <si>
    <r>
      <rPr>
        <sz val="9"/>
        <color rgb="FF595959"/>
        <rFont val="Arial"/>
        <family val="2"/>
      </rPr>
      <t>c3, c9</t>
    </r>
    <r>
      <rPr>
        <b/>
        <sz val="9"/>
        <color rgb="FF2E75B6"/>
        <rFont val="Arial"/>
        <family val="2"/>
      </rPr>
      <t xml:space="preserve">
STc3, STc9</t>
    </r>
  </si>
  <si>
    <r>
      <rPr>
        <sz val="9"/>
        <color rgb="FF595959"/>
        <rFont val="Arial"/>
        <family val="2"/>
      </rPr>
      <t>c3, c9</t>
    </r>
    <r>
      <rPr>
        <b/>
        <sz val="9"/>
        <color rgb="FF2E75B6"/>
        <rFont val="Arial"/>
        <family val="2"/>
      </rPr>
      <t xml:space="preserve">
STc3, STc9</t>
    </r>
  </si>
  <si>
    <r>
      <rPr>
        <sz val="9"/>
        <color rgb="FF595959"/>
        <rFont val="Arial"/>
        <family val="2"/>
      </rPr>
      <t>c3, c9</t>
    </r>
    <r>
      <rPr>
        <b/>
        <sz val="9"/>
        <color rgb="FF2E75B6"/>
        <rFont val="Arial"/>
        <family val="2"/>
      </rPr>
      <t xml:space="preserve">
STc3, STc9</t>
    </r>
  </si>
  <si>
    <r>
      <rPr>
        <sz val="9"/>
        <color rgb="FF595959"/>
        <rFont val="Arial"/>
        <family val="2"/>
      </rPr>
      <t>c9</t>
    </r>
    <r>
      <rPr>
        <b/>
        <sz val="9"/>
        <color rgb="FF2E75B6"/>
        <rFont val="Arial"/>
        <family val="2"/>
      </rPr>
      <t xml:space="preserve">
STc9</t>
    </r>
  </si>
  <si>
    <r>
      <rPr>
        <sz val="9"/>
        <color rgb="FF595959"/>
        <rFont val="Arial"/>
        <family val="2"/>
      </rPr>
      <t>c9, c10</t>
    </r>
    <r>
      <rPr>
        <b/>
        <sz val="9"/>
        <color rgb="FF2E75B6"/>
        <rFont val="Arial"/>
        <family val="2"/>
      </rPr>
      <t xml:space="preserve">
STc9, STc10</t>
    </r>
  </si>
  <si>
    <r>
      <rPr>
        <sz val="9"/>
        <color rgb="FF595959"/>
        <rFont val="Arial"/>
        <family val="2"/>
      </rPr>
      <t>c9, c10</t>
    </r>
    <r>
      <rPr>
        <b/>
        <sz val="9"/>
        <color rgb="FF2E75B6"/>
        <rFont val="Arial"/>
        <family val="2"/>
      </rPr>
      <t xml:space="preserve">
STc9, STc10</t>
    </r>
  </si>
  <si>
    <r>
      <rPr>
        <sz val="9"/>
        <color rgb="FF595959"/>
        <rFont val="Arial"/>
        <family val="2"/>
      </rPr>
      <t>c7, c9</t>
    </r>
    <r>
      <rPr>
        <b/>
        <sz val="9"/>
        <color rgb="FF2E75B6"/>
        <rFont val="Arial"/>
        <family val="2"/>
      </rPr>
      <t xml:space="preserve">
STc7, STc9</t>
    </r>
  </si>
  <si>
    <r>
      <rPr>
        <sz val="9"/>
        <color rgb="FF595959"/>
        <rFont val="Arial"/>
        <family val="2"/>
      </rPr>
      <t>c9</t>
    </r>
    <r>
      <rPr>
        <b/>
        <sz val="9"/>
        <color rgb="FF2E75B6"/>
        <rFont val="Arial"/>
        <family val="2"/>
      </rPr>
      <t xml:space="preserve">
STc9</t>
    </r>
  </si>
  <si>
    <r>
      <rPr>
        <sz val="9"/>
        <color rgb="FF595959"/>
        <rFont val="Arial"/>
        <family val="2"/>
      </rPr>
      <t>c9</t>
    </r>
    <r>
      <rPr>
        <b/>
        <sz val="9"/>
        <color rgb="FF2E75B6"/>
        <rFont val="Arial"/>
        <family val="2"/>
      </rPr>
      <t xml:space="preserve">
STc9</t>
    </r>
  </si>
  <si>
    <r>
      <rPr>
        <sz val="9"/>
        <color rgb="FF595959"/>
        <rFont val="Arial"/>
        <family val="2"/>
      </rPr>
      <t>c7, c9</t>
    </r>
    <r>
      <rPr>
        <b/>
        <sz val="9"/>
        <color rgb="FF2E75B6"/>
        <rFont val="Arial"/>
        <family val="2"/>
      </rPr>
      <t xml:space="preserve">
STc7, STc9</t>
    </r>
  </si>
  <si>
    <r>
      <rPr>
        <sz val="9"/>
        <color rgb="FF595959"/>
        <rFont val="Arial"/>
        <family val="2"/>
      </rPr>
      <t>c9</t>
    </r>
    <r>
      <rPr>
        <b/>
        <sz val="9"/>
        <color rgb="FF2E75B6"/>
        <rFont val="Arial"/>
        <family val="2"/>
      </rPr>
      <t xml:space="preserve">
STc9</t>
    </r>
  </si>
  <si>
    <r>
      <rPr>
        <sz val="9"/>
        <color rgb="FF595959"/>
        <rFont val="Arial"/>
        <family val="2"/>
      </rPr>
      <t>c9</t>
    </r>
    <r>
      <rPr>
        <b/>
        <sz val="9"/>
        <color rgb="FF2E75B6"/>
        <rFont val="Arial"/>
        <family val="2"/>
      </rPr>
      <t xml:space="preserve">
STc9</t>
    </r>
  </si>
  <si>
    <r>
      <rPr>
        <sz val="9"/>
        <color rgb="FF595959"/>
        <rFont val="Arial"/>
        <family val="2"/>
      </rPr>
      <t>c9</t>
    </r>
    <r>
      <rPr>
        <b/>
        <sz val="9"/>
        <color rgb="FF2E75B6"/>
        <rFont val="Arial"/>
        <family val="2"/>
      </rPr>
      <t xml:space="preserve">
STc9</t>
    </r>
  </si>
  <si>
    <r>
      <rPr>
        <sz val="9"/>
        <color rgb="FF595959"/>
        <rFont val="Arial"/>
        <family val="2"/>
      </rPr>
      <t>c9</t>
    </r>
    <r>
      <rPr>
        <b/>
        <sz val="9"/>
        <color rgb="FF2E75B6"/>
        <rFont val="Arial"/>
        <family val="2"/>
      </rPr>
      <t xml:space="preserve">
STc9</t>
    </r>
  </si>
  <si>
    <r>
      <rPr>
        <sz val="9"/>
        <color rgb="FF595959"/>
        <rFont val="Arial"/>
        <family val="2"/>
      </rPr>
      <t>c9</t>
    </r>
    <r>
      <rPr>
        <b/>
        <sz val="9"/>
        <color rgb="FF2E75B6"/>
        <rFont val="Arial"/>
        <family val="2"/>
      </rPr>
      <t xml:space="preserve">
STc9</t>
    </r>
  </si>
  <si>
    <r>
      <rPr>
        <sz val="9"/>
        <color rgb="FF595959"/>
        <rFont val="Arial"/>
        <family val="2"/>
      </rPr>
      <t>c9, c10</t>
    </r>
    <r>
      <rPr>
        <b/>
        <sz val="9"/>
        <color rgb="FF2E75B6"/>
        <rFont val="Arial"/>
        <family val="2"/>
      </rPr>
      <t xml:space="preserve">
STc9, STc10</t>
    </r>
  </si>
  <si>
    <r>
      <rPr>
        <sz val="9"/>
        <color rgb="FF595959"/>
        <rFont val="Arial"/>
        <family val="2"/>
      </rPr>
      <t>c6, c9</t>
    </r>
    <r>
      <rPr>
        <b/>
        <sz val="9"/>
        <color rgb="FF2E75B6"/>
        <rFont val="Arial"/>
        <family val="2"/>
      </rPr>
      <t xml:space="preserve">
STc6, STc9</t>
    </r>
  </si>
  <si>
    <r>
      <rPr>
        <sz val="9"/>
        <color rgb="FF595959"/>
        <rFont val="Arial"/>
        <family val="2"/>
      </rPr>
      <t>c7, c9</t>
    </r>
    <r>
      <rPr>
        <b/>
        <sz val="9"/>
        <color rgb="FF2E75B6"/>
        <rFont val="Arial"/>
        <family val="2"/>
      </rPr>
      <t xml:space="preserve">
STc7, STc9</t>
    </r>
  </si>
  <si>
    <r>
      <rPr>
        <sz val="9"/>
        <color rgb="FF595959"/>
        <rFont val="Arial"/>
        <family val="2"/>
      </rPr>
      <t>c9, c10</t>
    </r>
    <r>
      <rPr>
        <b/>
        <sz val="9"/>
        <color rgb="FF2E75B6"/>
        <rFont val="Arial"/>
        <family val="2"/>
      </rPr>
      <t xml:space="preserve">
STc9, STc10</t>
    </r>
  </si>
  <si>
    <r>
      <rPr>
        <sz val="9"/>
        <color rgb="FF595959"/>
        <rFont val="Arial"/>
        <family val="2"/>
      </rPr>
      <t>c4, c9</t>
    </r>
    <r>
      <rPr>
        <b/>
        <sz val="9"/>
        <color rgb="FF2E75B6"/>
        <rFont val="Arial"/>
        <family val="2"/>
      </rPr>
      <t xml:space="preserve">
STc4, STc9</t>
    </r>
  </si>
  <si>
    <r>
      <rPr>
        <sz val="9"/>
        <color rgb="FF595959"/>
        <rFont val="Arial"/>
        <family val="2"/>
      </rPr>
      <t>c4, c9</t>
    </r>
    <r>
      <rPr>
        <b/>
        <sz val="9"/>
        <color rgb="FF2E75B6"/>
        <rFont val="Arial"/>
        <family val="2"/>
      </rPr>
      <t xml:space="preserve">
STc4, STc9</t>
    </r>
  </si>
  <si>
    <r>
      <rPr>
        <sz val="9"/>
        <color rgb="FF595959"/>
        <rFont val="Arial"/>
        <family val="2"/>
      </rPr>
      <t>c9</t>
    </r>
    <r>
      <rPr>
        <b/>
        <sz val="9"/>
        <color rgb="FF2E75B6"/>
        <rFont val="Arial"/>
        <family val="2"/>
      </rPr>
      <t xml:space="preserve">
STc9</t>
    </r>
  </si>
  <si>
    <r>
      <rPr>
        <sz val="9"/>
        <color rgb="FF595959"/>
        <rFont val="Arial"/>
        <family val="2"/>
      </rPr>
      <t>b1, c9</t>
    </r>
    <r>
      <rPr>
        <b/>
        <sz val="9"/>
        <color rgb="FF2E75B6"/>
        <rFont val="Arial"/>
        <family val="2"/>
      </rPr>
      <t xml:space="preserve">
STb1, STc9</t>
    </r>
  </si>
  <si>
    <r>
      <rPr>
        <sz val="9"/>
        <color rgb="FF595959"/>
        <rFont val="Arial"/>
        <family val="2"/>
      </rPr>
      <t>c9, c10</t>
    </r>
    <r>
      <rPr>
        <b/>
        <sz val="9"/>
        <color rgb="FF2E75B6"/>
        <rFont val="Arial"/>
        <family val="2"/>
      </rPr>
      <t xml:space="preserve">
STc9, STc10</t>
    </r>
  </si>
  <si>
    <r>
      <rPr>
        <sz val="9"/>
        <color rgb="FF595959"/>
        <rFont val="Arial"/>
        <family val="2"/>
      </rPr>
      <t>c3, c9</t>
    </r>
    <r>
      <rPr>
        <b/>
        <sz val="9"/>
        <color rgb="FF2E75B6"/>
        <rFont val="Arial"/>
        <family val="2"/>
      </rPr>
      <t xml:space="preserve">
STc3, STc9</t>
    </r>
  </si>
  <si>
    <r>
      <rPr>
        <sz val="9"/>
        <color rgb="FF595959"/>
        <rFont val="Arial"/>
        <family val="2"/>
      </rPr>
      <t>c3, c9</t>
    </r>
    <r>
      <rPr>
        <b/>
        <sz val="9"/>
        <color rgb="FF2E75B6"/>
        <rFont val="Arial"/>
        <family val="2"/>
      </rPr>
      <t xml:space="preserve">
STc3, STc9</t>
    </r>
  </si>
  <si>
    <r>
      <rPr>
        <sz val="9"/>
        <color rgb="FF595959"/>
        <rFont val="Arial"/>
        <family val="2"/>
      </rPr>
      <t>c3, c9</t>
    </r>
    <r>
      <rPr>
        <b/>
        <sz val="9"/>
        <color rgb="FF2E75B6"/>
        <rFont val="Arial"/>
        <family val="2"/>
      </rPr>
      <t xml:space="preserve">
STc3, STc9</t>
    </r>
  </si>
  <si>
    <r>
      <rPr>
        <sz val="9"/>
        <color rgb="FF595959"/>
        <rFont val="Arial"/>
        <family val="2"/>
      </rPr>
      <t>c3, c6, c9</t>
    </r>
    <r>
      <rPr>
        <b/>
        <sz val="9"/>
        <color rgb="FF2E75B6"/>
        <rFont val="Arial"/>
        <family val="2"/>
      </rPr>
      <t xml:space="preserve">
STc3, STc6, STc9</t>
    </r>
  </si>
  <si>
    <r>
      <rPr>
        <sz val="9"/>
        <color rgb="FF595959"/>
        <rFont val="Arial"/>
        <family val="2"/>
      </rPr>
      <t>c3, c6, c9</t>
    </r>
    <r>
      <rPr>
        <b/>
        <sz val="9"/>
        <color rgb="FF2E75B6"/>
        <rFont val="Arial"/>
        <family val="2"/>
      </rPr>
      <t xml:space="preserve">
STc3, STc6, STc9</t>
    </r>
  </si>
  <si>
    <r>
      <rPr>
        <sz val="9"/>
        <color rgb="FF595959"/>
        <rFont val="Arial"/>
        <family val="2"/>
      </rPr>
      <t>c3, c9</t>
    </r>
    <r>
      <rPr>
        <b/>
        <sz val="9"/>
        <color rgb="FF2E75B6"/>
        <rFont val="Arial"/>
        <family val="2"/>
      </rPr>
      <t xml:space="preserve">
STc3, STc9</t>
    </r>
  </si>
  <si>
    <r>
      <rPr>
        <sz val="9"/>
        <color rgb="FF595959"/>
        <rFont val="Arial"/>
        <family val="2"/>
      </rPr>
      <t>c9</t>
    </r>
    <r>
      <rPr>
        <b/>
        <sz val="9"/>
        <color rgb="FF2E75B6"/>
        <rFont val="Arial"/>
        <family val="2"/>
      </rPr>
      <t xml:space="preserve">
STc9</t>
    </r>
  </si>
  <si>
    <r>
      <rPr>
        <sz val="9"/>
        <color rgb="FF595959"/>
        <rFont val="Arial"/>
        <family val="2"/>
      </rPr>
      <t>c9</t>
    </r>
    <r>
      <rPr>
        <b/>
        <sz val="9"/>
        <color rgb="FF2E75B6"/>
        <rFont val="Arial"/>
        <family val="2"/>
      </rPr>
      <t xml:space="preserve">
STc9</t>
    </r>
  </si>
  <si>
    <r>
      <rPr>
        <sz val="9"/>
        <color rgb="FF595959"/>
        <rFont val="Arial"/>
        <family val="2"/>
      </rPr>
      <t>c6, c9</t>
    </r>
    <r>
      <rPr>
        <b/>
        <sz val="9"/>
        <color rgb="FF2E75B6"/>
        <rFont val="Arial"/>
        <family val="2"/>
      </rPr>
      <t xml:space="preserve">
STc6, STc9</t>
    </r>
  </si>
  <si>
    <r>
      <rPr>
        <sz val="9"/>
        <color rgb="FF595959"/>
        <rFont val="Arial"/>
        <family val="2"/>
      </rPr>
      <t>c9</t>
    </r>
    <r>
      <rPr>
        <b/>
        <sz val="9"/>
        <color rgb="FF2E75B6"/>
        <rFont val="Arial"/>
        <family val="2"/>
      </rPr>
      <t xml:space="preserve">
STc9</t>
    </r>
  </si>
  <si>
    <r>
      <rPr>
        <sz val="9"/>
        <color rgb="FF595959"/>
        <rFont val="Arial"/>
        <family val="2"/>
      </rPr>
      <t>b1, c9, c13</t>
    </r>
    <r>
      <rPr>
        <b/>
        <sz val="9"/>
        <color rgb="FF2E75B6"/>
        <rFont val="Arial"/>
        <family val="2"/>
      </rPr>
      <t xml:space="preserve">
STb1, STc9, STc13</t>
    </r>
  </si>
  <si>
    <r>
      <rPr>
        <sz val="9"/>
        <color rgb="FF595959"/>
        <rFont val="Arial"/>
        <family val="2"/>
      </rPr>
      <t>c9</t>
    </r>
    <r>
      <rPr>
        <b/>
        <sz val="9"/>
        <color rgb="FF2E75B6"/>
        <rFont val="Arial"/>
        <family val="2"/>
      </rPr>
      <t xml:space="preserve">
STc9</t>
    </r>
  </si>
  <si>
    <r>
      <rPr>
        <sz val="9"/>
        <color rgb="FF595959"/>
        <rFont val="Arial"/>
        <family val="2"/>
      </rPr>
      <t>c9</t>
    </r>
    <r>
      <rPr>
        <b/>
        <sz val="9"/>
        <color rgb="FF2E75B6"/>
        <rFont val="Arial"/>
        <family val="2"/>
      </rPr>
      <t xml:space="preserve">
STc9</t>
    </r>
  </si>
  <si>
    <r>
      <rPr>
        <b/>
        <sz val="9"/>
        <color rgb="FF595959"/>
        <rFont val="Arial"/>
        <family val="2"/>
      </rPr>
      <t xml:space="preserve">2015:  </t>
    </r>
    <r>
      <rPr>
        <sz val="9"/>
        <color rgb="FF595959"/>
        <rFont val="Arial"/>
        <family val="2"/>
      </rPr>
      <t>b1, b3, c3–c7, c9, c10, c13</t>
    </r>
    <r>
      <rPr>
        <b/>
        <sz val="9"/>
        <color rgb="FF2E75B6"/>
        <rFont val="Arial"/>
        <family val="2"/>
      </rPr>
      <t xml:space="preserve">
2022:  </t>
    </r>
    <r>
      <rPr>
        <sz val="9"/>
        <color rgb="FF2E75B6"/>
        <rFont val="Arial"/>
        <family val="2"/>
      </rPr>
      <t>STb1, STc3–STc7, STc9, STc10, STc13</t>
    </r>
  </si>
  <si>
    <r>
      <rPr>
        <sz val="9"/>
        <color rgb="FF595959"/>
        <rFont val="Arial"/>
        <family val="2"/>
      </rPr>
      <t>c2</t>
    </r>
    <r>
      <rPr>
        <b/>
        <sz val="9"/>
        <color rgb="FF2E75B6"/>
        <rFont val="Arial"/>
        <family val="2"/>
      </rPr>
      <t xml:space="preserve">
STc2</t>
    </r>
  </si>
  <si>
    <r>
      <rPr>
        <sz val="9"/>
        <color rgb="FF595959"/>
        <rFont val="Arial"/>
        <family val="2"/>
      </rPr>
      <t>c3</t>
    </r>
    <r>
      <rPr>
        <b/>
        <sz val="9"/>
        <color rgb="FF2E75B6"/>
        <rFont val="Arial"/>
        <family val="2"/>
      </rPr>
      <t xml:space="preserve">
STc3</t>
    </r>
  </si>
  <si>
    <r>
      <rPr>
        <sz val="9"/>
        <color rgb="FF595959"/>
        <rFont val="Arial"/>
        <family val="2"/>
      </rPr>
      <t>c3, c6</t>
    </r>
    <r>
      <rPr>
        <b/>
        <sz val="9"/>
        <color rgb="FF2E75B6"/>
        <rFont val="Arial"/>
        <family val="2"/>
      </rPr>
      <t xml:space="preserve">
STc3, STc6</t>
    </r>
  </si>
  <si>
    <r>
      <rPr>
        <sz val="9"/>
        <color rgb="FF595959"/>
        <rFont val="Arial"/>
        <family val="2"/>
      </rPr>
      <t>c2, c3</t>
    </r>
    <r>
      <rPr>
        <b/>
        <sz val="9"/>
        <color rgb="FF2E75B6"/>
        <rFont val="Arial"/>
        <family val="2"/>
      </rPr>
      <t xml:space="preserve">
STc2, STc3</t>
    </r>
  </si>
  <si>
    <t>Delmål – koder enligt 2015 och 2022</t>
  </si>
  <si>
    <t>Varje lärandemål är kopplat till delmål i båda målbeskrivningarna. I kolumnen Delmål visar översta raden (grå) SOSFS 2015:8, t.ex. c7, och nedersta raden (blå) HSLF-FS 2021:8, t.ex. STc7. Använd den rad som gäller för din ST. Numreringen c1–c13 motsvarar STc1–STc13.</t>
  </si>
  <si>
    <t>c1 · STc1</t>
  </si>
  <si>
    <t>Akuta sjukdomstillstånd inom internmedicin och angränsande specialiteter (gemensam kunskapsbas)</t>
  </si>
  <si>
    <t>c2 · STc2</t>
  </si>
  <si>
    <t>Vanliga och allvarliga sjukdomstillstånd inom internmedicin (gemensam kunskapsbas)</t>
  </si>
  <si>
    <t>c3 · STc3</t>
  </si>
  <si>
    <t>Läkemedelsanvändning: individualisering, biverkningar och polyfarmaci</t>
  </si>
  <si>
    <t>c4 · STc4</t>
  </si>
  <si>
    <t>Multisjuklighet och individualiserad behandling</t>
  </si>
  <si>
    <t>c5 · STc5</t>
  </si>
  <si>
    <t>Besluta om och initiera palliativ vård</t>
  </si>
  <si>
    <t>c6 · STc6</t>
  </si>
  <si>
    <t>Akut omhändertagande av livshotande kardiologiska tillstånd (inkl. lungemboli och akut aortasyndrom)</t>
  </si>
  <si>
    <t>c7 · STc7</t>
  </si>
  <si>
    <t>Akut koronart syndrom och kronisk kranskärlssjukdom, bild- och funktionsdiagnostik, strålskydd</t>
  </si>
  <si>
    <t>c8 · STc8</t>
  </si>
  <si>
    <t>Hjärtsvikt, kardiomyopatier, klaffsjukdom och pulmonell hypertension (2022 även myo- och perikardit)</t>
  </si>
  <si>
    <t>c9 · STc9</t>
  </si>
  <si>
    <t>Arytmier, synkope och device; kännedom om invasiv elektrofysiologi</t>
  </si>
  <si>
    <t>c10 · STc10</t>
  </si>
  <si>
    <t>ACHD, ärftlig hjärtsjukdom, graviditet, endokardit, myo- och perikardit, kardioonkologi</t>
  </si>
  <si>
    <t>c11 · STc11</t>
  </si>
  <si>
    <t>Aortasjukdom och traumatisk hjärtsjukdom</t>
  </si>
  <si>
    <t>c12 · STc12</t>
  </si>
  <si>
    <t>Primär- och sekundärprevention samt rehabilitering (2015 även den aterosklerotiska processen)</t>
  </si>
  <si>
    <t>c13 · STc13</t>
  </si>
  <si>
    <t>Specialitetsspecifika lagar och föreskrifter, t.ex. trafikmedicinska föreskrifter</t>
  </si>
  <si>
    <t>b1 · STb1</t>
  </si>
  <si>
    <t>Kommunikation med patienter och närstående</t>
  </si>
  <si>
    <t>b2 · STb2</t>
  </si>
  <si>
    <t>Sjukdomsförebyggande arbete (2022: sjukdomsförebyggande och hälsofrämjande arbete)</t>
  </si>
  <si>
    <t>b3 → STc3</t>
  </si>
  <si>
    <t>Läkemedel (2022 finns ingen egen b-punkt, innehållet ingår i STc3)</t>
  </si>
  <si>
    <t>b4 · STb3</t>
  </si>
  <si>
    <t>Försäkringsmedicin</t>
  </si>
  <si>
    <t>b5 · STb4</t>
  </si>
  <si>
    <t>Palliativ vård i livets slutskede</t>
  </si>
  <si>
    <t>a1 · STa5</t>
  </si>
  <si>
    <t>Ledarskap (2015: medarbetarskap, ledarskap och pedagogik; pedagogik motsvaras 2022 av STa6 Lärande)</t>
  </si>
  <si>
    <t>a2 · STa4</t>
  </si>
  <si>
    <t>Etik (2015: etik, mångfald och jämlikhet)</t>
  </si>
  <si>
    <t>a3 · STa7</t>
  </si>
  <si>
    <t>Vårdhygien och smittskydd</t>
  </si>
  <si>
    <t>a4 · STa2</t>
  </si>
  <si>
    <t>Systematiskt kvalitets- och patientsäkerhetsarbete</t>
  </si>
  <si>
    <t>a5 · STa3</t>
  </si>
  <si>
    <t>Medicinsk vetenskap</t>
  </si>
  <si>
    <t>a6 · STa1</t>
  </si>
  <si>
    <t>Hälso- och sjukvårdens organisation och förutsättningar, lagar och föreskrifter</t>
  </si>
  <si>
    <t>Källor: SvKF Målbeskrivning 2015 och SvKF Kompetensbeskrivning 2022 (uppdaterad 2024), där varje kapitel anger Socialstyrelsens STc-mål. Preoperativ bedömning har inget eget STc-mål och är kopplad till närmast motsvarande delmål. Antal (≥) under Praktiska färdigheter är förslag som processledaren kan justera.</t>
  </si>
  <si>
    <r>
      <rPr>
        <b/>
        <sz val="13"/>
        <color rgb="FFFFFFFF"/>
        <rFont val="Arial"/>
        <family val="2"/>
      </rPr>
      <t>📋  LÄRANDEMÅL</t>
    </r>
    <r>
      <rPr>
        <sz val="9"/>
        <color rgb="FFBDD7EE"/>
        <rFont val="Arial"/>
        <family val="2"/>
      </rPr>
      <t xml:space="preserve">      Håll muspekaren över ett mål för att se källan i SvKF 2022</t>
    </r>
  </si>
  <si>
    <r>
      <rPr>
        <b/>
        <sz val="11"/>
        <color rgb="FFFFFFFF"/>
        <rFont val="Arial"/>
        <family val="2"/>
      </rPr>
      <t>🛠 Praktiska färdigheter</t>
    </r>
    <r>
      <rPr>
        <sz val="9"/>
        <color rgb="FFBDD7EE"/>
        <rFont val="Arial"/>
        <family val="2"/>
      </rPr>
      <t xml:space="preserve">      Håll muspekaren över ett mål för att se källan i SvKF 2022</t>
    </r>
  </si>
  <si>
    <r>
      <rPr>
        <b/>
        <sz val="13"/>
        <color rgb="FFFFFFFF"/>
        <rFont val="Arial"/>
        <family val="2"/>
      </rPr>
      <t>📋  LÄRANDEMÅL</t>
    </r>
    <r>
      <rPr>
        <sz val="9"/>
        <color rgb="FFBDD7EE"/>
        <rFont val="Arial"/>
        <family val="2"/>
      </rPr>
      <t xml:space="preserve">      Håll muspekaren över ett mål för att se källan i SvKF 2022</t>
    </r>
  </si>
  <si>
    <r>
      <rPr>
        <b/>
        <sz val="11"/>
        <color rgb="FFFFFFFF"/>
        <rFont val="Arial"/>
        <family val="2"/>
      </rPr>
      <t>🛠 Praktiska färdigheter</t>
    </r>
    <r>
      <rPr>
        <sz val="9"/>
        <color rgb="FFBDD7EE"/>
        <rFont val="Arial"/>
        <family val="2"/>
      </rPr>
      <t xml:space="preserve">      Håll muspekaren över ett mål för att se källan i SvKF 2022</t>
    </r>
  </si>
  <si>
    <r>
      <rPr>
        <b/>
        <sz val="13"/>
        <color rgb="FFFFFFFF"/>
        <rFont val="Arial"/>
        <family val="2"/>
      </rPr>
      <t>📋  LÄRANDEMÅL</t>
    </r>
    <r>
      <rPr>
        <sz val="9"/>
        <color rgb="FFBDD7EE"/>
        <rFont val="Arial"/>
        <family val="2"/>
      </rPr>
      <t xml:space="preserve">      Håll muspekaren över ett mål för att se källan i SvKF 2022</t>
    </r>
  </si>
  <si>
    <r>
      <rPr>
        <b/>
        <sz val="11"/>
        <color rgb="FFFFFFFF"/>
        <rFont val="Arial"/>
        <family val="2"/>
      </rPr>
      <t>🛠 Praktiska färdigheter</t>
    </r>
    <r>
      <rPr>
        <sz val="9"/>
        <color rgb="FFBDD7EE"/>
        <rFont val="Arial"/>
        <family val="2"/>
      </rPr>
      <t xml:space="preserve">      Håll muspekaren över ett mål för att se källan i SvKF 2022</t>
    </r>
  </si>
  <si>
    <r>
      <rPr>
        <b/>
        <sz val="13"/>
        <color rgb="FFFFFFFF"/>
        <rFont val="Arial"/>
        <family val="2"/>
      </rPr>
      <t>📋  LÄRANDEMÅL</t>
    </r>
    <r>
      <rPr>
        <sz val="9"/>
        <color rgb="FFBDD7EE"/>
        <rFont val="Arial"/>
        <family val="2"/>
      </rPr>
      <t xml:space="preserve">      Håll muspekaren över ett mål för att se källan i SvKF 2022</t>
    </r>
  </si>
  <si>
    <r>
      <rPr>
        <b/>
        <sz val="11"/>
        <color rgb="FFFFFFFF"/>
        <rFont val="Arial"/>
        <family val="2"/>
      </rPr>
      <t>🛠 Praktiska färdigheter</t>
    </r>
    <r>
      <rPr>
        <sz val="9"/>
        <color rgb="FFBDD7EE"/>
        <rFont val="Arial"/>
        <family val="2"/>
      </rPr>
      <t xml:space="preserve">      Håll muspekaren över ett mål för att se källan i SvKF 2022</t>
    </r>
  </si>
  <si>
    <t>Typ</t>
  </si>
  <si>
    <t>Behandling vid KKS: icke-farmakologisk, farmakologisk och invasiva utredning/åtgärd</t>
  </si>
  <si>
    <t>Indikation för alternativa behandlingsmetoder vid refraktär angina (CSR, EECP, nicorandil, stötvågsbehandling, ryggmärgstimulering)</t>
  </si>
  <si>
    <t>Källor till lärandemålen – SvKF Kompetensbeskrivning 2022</t>
  </si>
  <si>
    <r>
      <rPr>
        <b/>
        <sz val="9"/>
        <color rgb="FF595959"/>
        <rFont val="Arial"/>
        <family val="2"/>
      </rPr>
      <t xml:space="preserve">2015:  </t>
    </r>
    <r>
      <rPr>
        <sz val="9"/>
        <color rgb="FF595959"/>
        <rFont val="Arial"/>
        <family val="2"/>
      </rPr>
      <t>b2–b4, c1–c4, c6, c7, c9–c13</t>
    </r>
    <r>
      <rPr>
        <b/>
        <sz val="9"/>
        <color rgb="FF2E75B6"/>
        <rFont val="Arial"/>
        <family val="2"/>
      </rPr>
      <t xml:space="preserve">
2022:  </t>
    </r>
    <r>
      <rPr>
        <sz val="9"/>
        <color rgb="FF2E75B6"/>
        <rFont val="Arial"/>
        <family val="2"/>
      </rPr>
      <t>STb2, STb3, STc1–STc4, STc6–STc13</t>
    </r>
  </si>
  <si>
    <t>akuten, 91, 94, bröstsmärtecentrum, HIA, HKC-mottagning, PCI-lab, hemostas, hjärtjour</t>
  </si>
  <si>
    <t>Specialisttjänstgöringen i kardiologi vid Danderyds sjukhus omfattar 7,5 år (dubbelspecialitet internmedicin + kardiologi). Den klinikbundna delen är strukturerad i fyra delblock: ischemi, akut kardiologi (HIA), strukturell hjärtsjukdom och arytmier.</t>
  </si>
  <si>
    <t>Varje lärandemål och praktisk färdighet har en anteckning med den exakta formuleringen i SvKF Kompetensbeskrivning 2022 (kapitel och sida). Håll muspekaren över målet – en röd triangel i cellens hörn visar att anteckningen finns. Fliken "Källor SvKF 2022" samlar alla källor i en tabell: 90 mål är ordagranna, 86 bygger på SvKF 2022 och 6 är egna formuleringar (lokala tillägg).</t>
  </si>
  <si>
    <t>KÄLLOR  ·  SvKF KOMPETENSBESKRIVNING 2022</t>
  </si>
  <si>
    <t>Varje lärandemål och praktisk färdighet i trackern med exakt formulering, kapitel och sida i Svenska Kardiologföreningens Kompetensbeskrivning 2022 (uppdaterad 24 oktober 2024).</t>
  </si>
  <si>
    <t>I blockflikarna finns samma källa som en anteckning på varje mål: håll muspekaren över målet (röd triangel i cellens hörn). Klicka på numret i kolumn Nr nedan för att hoppa till målet. Koderna i kolumnen Delmål (t.ex. STc7) följer Socialstyrelsens mål som SvKF anger för respektive kapitel.</t>
  </si>
  <si>
    <t>90</t>
  </si>
  <si>
    <t>Ordagrant</t>
  </si>
  <si>
    <t>Formuleringen är hämtad ordagrant eller nära ordagrant ur SvKF 2022 – ibland förkortad, sammanslagen eller med tillagda exempel.</t>
  </si>
  <si>
    <t>86</t>
  </si>
  <si>
    <t>Bygger på SvKF</t>
  </si>
  <si>
    <t>Ämnet står uttryckligen i SvKF 2022, men formuleringen eller konkretiseringen är egen.</t>
  </si>
  <si>
    <t>6</t>
  </si>
  <si>
    <t>Egen formulering</t>
  </si>
  <si>
    <t>Finns inte som eget delmål i SvKF 2022 (lokalt tillägg). Närliggande text ur SvKF 2022 visas.</t>
  </si>
  <si>
    <t>Totalt 182 mål (161 lärandemål och 21 praktiska färdigheter): 90 ordagrant, 86 bygger på SvKF 2022, 6 egen formulering. Av lärandemålen har 157 av 161 direkt stöd i SvKF 2022.</t>
  </si>
  <si>
    <t>Nr</t>
  </si>
  <si>
    <t>Mål i trackern</t>
  </si>
  <si>
    <t>Typ</t>
  </si>
  <si>
    <t>Exakt formulering i SvKF 2022  (kapitel · sida · Socialstyrelsens mål)</t>
  </si>
  <si>
    <t>Kommentar</t>
  </si>
  <si>
    <t>ISCHEMI  –  lärandemål (55 st: 25 ordagrant · 27 bygger på SvKF · 3 egen formulering)</t>
  </si>
  <si>
    <t>Aterosklerotisk patogenes: endoteldysfunktion, lipidinlagring, plackutveckling, plackruptur &amp; plackerosion, trombosbildning</t>
  </si>
  <si>
    <t>Bygger på SvKF</t>
  </si>
  <si>
    <r>
      <rPr>
        <b/>
        <sz val="9"/>
        <color rgb="FF1B3A5C"/>
        <rFont val="Arial"/>
        <family val="2"/>
      </rPr>
      <t xml:space="preserve">Akut koronart syndrom (AKS) · s. 9 · Socialstyrelsens mål: STc7
</t>
    </r>
    <r>
      <rPr>
        <sz val="9"/>
        <color rgb="FF000000"/>
        <rFont val="Arial"/>
        <family val="2"/>
      </rPr>
      <t xml:space="preserve">• Patofysiologi vid AKS för aterosklerotiska och icke-aterosklerotiska tillstånd, samt differentialdiagnostik vid AKS.
</t>
    </r>
    <r>
      <rPr>
        <b/>
        <sz val="9"/>
        <color rgb="FF1B3A5C"/>
        <rFont val="Arial"/>
        <family val="2"/>
      </rPr>
      <t xml:space="preserve">
Kronisk koronart syndrom (stabil kranskärlssjukdom) · s. 9 · Socialstyrelsens mål: STc7
</t>
    </r>
    <r>
      <rPr>
        <sz val="9"/>
        <color rgb="FF000000"/>
        <rFont val="Arial"/>
        <family val="2"/>
      </rPr>
      <t>• Klassifikation, epidemiologi, orsaker, patofysiologi, klinisk bild och differentialdiagnoser vid kronisk kranskärlssjukdom.</t>
    </r>
  </si>
  <si>
    <t>Konkretisering av patofysiologin vid AKS och KKS.</t>
  </si>
  <si>
    <t>Akut koronart syndrom (aterosklerotiska och icke aterosklerotiska): klassifikation, epidemiologi, orsaker, och patofysiologi</t>
  </si>
  <si>
    <t>Ordagrant</t>
  </si>
  <si>
    <r>
      <rPr>
        <b/>
        <sz val="9"/>
        <color rgb="FF1B3A5C"/>
        <rFont val="Arial"/>
        <family val="2"/>
      </rPr>
      <t xml:space="preserve">Akut koronart syndrom (AKS) · s. 9 · Socialstyrelsens mål: STc7
</t>
    </r>
    <r>
      <rPr>
        <sz val="9"/>
        <color rgb="FF000000"/>
        <rFont val="Arial"/>
        <family val="2"/>
      </rPr>
      <t xml:space="preserve">• Patofysiologi vid AKS för aterosklerotiska och icke-aterosklerotiska tillstånd, samt differentialdiagnostik vid AKS.
• Diagnostik av AKS inkluderande anamnes, status, klinisk bild, EKG, ischemimonitorering och biokemiska markörer, samt klassifikation av hjärtinfarkt.
</t>
    </r>
    <r>
      <rPr>
        <b/>
        <sz val="9"/>
        <color rgb="FF1B3A5C"/>
        <rFont val="Arial"/>
        <family val="2"/>
      </rPr>
      <t xml:space="preserve">
Akut omhändertagande av livshotande kardiologiska tillstånd · s. 8 · Socialstyrelsens mål: STc6
</t>
    </r>
    <r>
      <rPr>
        <sz val="9"/>
        <color rgb="FF000000"/>
        <rFont val="Arial"/>
        <family val="2"/>
      </rPr>
      <t>• Klassifikation, epidemiologi, orsaker, patofysiologi, klinisk bild, differentialdiagnoser, diagnostik, behandling och prognos vid hjärtstillestånd, akuta hjärtsjukdomar och mekaniska komplikationer.</t>
    </r>
  </si>
  <si>
    <t>Sammanslagen av delmål i kapitlen AKS och Akut omhändertagande.</t>
  </si>
  <si>
    <t>Kroniskt koronart syndrom (angina, mikrovaskulär angina (CMD/INOCA/ANOCA), vasospastisk angina, endoteldysfunktion): klassifikation, epidemiologi, orsaker, och patofysiologi</t>
  </si>
  <si>
    <t>Ordagrant</t>
  </si>
  <si>
    <r>
      <rPr>
        <b/>
        <sz val="9"/>
        <color rgb="FF1B3A5C"/>
        <rFont val="Arial"/>
        <family val="2"/>
      </rPr>
      <t xml:space="preserve">Kronisk koronart syndrom (stabil kranskärlssjukdom) · s. 9 · Socialstyrelsens mål: STc7
</t>
    </r>
    <r>
      <rPr>
        <sz val="9"/>
        <color rgb="FF000000"/>
        <rFont val="Arial"/>
        <family val="2"/>
      </rPr>
      <t>• Klassifikation, epidemiologi, orsaker, patofysiologi, klinisk bild och differentialdiagnoser vid kronisk kranskärlssjukdom.</t>
    </r>
  </si>
  <si>
    <t>Exemplen i parentes är tillagda.</t>
  </si>
  <si>
    <t>Klassifikation av hjärtinfarkt</t>
  </si>
  <si>
    <t>Ordagrant</t>
  </si>
  <si>
    <r>
      <rPr>
        <b/>
        <sz val="9"/>
        <color rgb="FF1B3A5C"/>
        <rFont val="Arial"/>
        <family val="2"/>
      </rPr>
      <t xml:space="preserve">Akut koronart syndrom (AKS) · s. 9 · Socialstyrelsens mål: STc7
</t>
    </r>
    <r>
      <rPr>
        <sz val="9"/>
        <color rgb="FF000000"/>
        <rFont val="Arial"/>
        <family val="2"/>
      </rPr>
      <t>• Diagnostik av AKS inkluderande anamnes, status, klinisk bild, EKG, ischemimonitorering och biokemiska markörer, samt klassifikation av hjärtinfarkt.</t>
    </r>
  </si>
  <si>
    <t>Koronaranatomi inkl kollateraler, anatomiska varianter inkl anomalier</t>
  </si>
  <si>
    <t>Bygger på SvKF</t>
  </si>
  <si>
    <r>
      <rPr>
        <b/>
        <sz val="9"/>
        <color rgb="FF1B3A5C"/>
        <rFont val="Arial"/>
        <family val="2"/>
      </rPr>
      <t xml:space="preserve">Invasiv bild- och funktionsdiagnostik · s. 20 · Socialstyrelsens mål: STc7, STc8
</t>
    </r>
    <r>
      <rPr>
        <sz val="9"/>
        <color rgb="FF000000"/>
        <rFont val="Arial"/>
        <family val="2"/>
      </rPr>
      <t xml:space="preserve">• Radiologisk anatomi av hjärta, aorta, anslutande stora kärl, koronarkärl liksom femoralis-, radialis- och brachialisartärer (vaskulära accesskärl).
</t>
    </r>
    <r>
      <rPr>
        <b/>
        <sz val="9"/>
        <color rgb="FF1B3A5C"/>
        <rFont val="Arial"/>
        <family val="2"/>
      </rPr>
      <t xml:space="preserve">
Medfödda hjärtfel hos vuxna (ACHD) · s. 16 · Socialstyrelsens mål: STc10
</t>
    </r>
    <r>
      <rPr>
        <sz val="9"/>
        <color rgb="FF000000"/>
        <rFont val="Arial"/>
        <family val="2"/>
      </rPr>
      <t>• Patofysiologi och basal kunskap om:
    – Kongenitala malformationer av kranskärlen.</t>
    </r>
  </si>
  <si>
    <t>Myokardit (viral, autoimmun, toxisk, inflammatorisk) och perikardit (akut, recidiverande, konstriktiv): patofysiologi och klassifikation</t>
  </si>
  <si>
    <t>Bygger på SvKF</t>
  </si>
  <si>
    <r>
      <rPr>
        <b/>
        <sz val="9"/>
        <color rgb="FF1B3A5C"/>
        <rFont val="Arial"/>
        <family val="2"/>
      </rPr>
      <t xml:space="preserve">Myokarditer · s. 15 · Socialstyrelsens mål: STc8, STc10
</t>
    </r>
    <r>
      <rPr>
        <sz val="9"/>
        <color rgb="FF000000"/>
        <rFont val="Arial"/>
        <family val="2"/>
      </rPr>
      <t xml:space="preserve">• Definition, orsaker, kliniska tecken, symtom, patologi, utredning, prognos och diagnostiska kriterier för infektiös och icke-infektiös myokardit.
</t>
    </r>
    <r>
      <rPr>
        <b/>
        <sz val="9"/>
        <color rgb="FF1B3A5C"/>
        <rFont val="Arial"/>
        <family val="2"/>
      </rPr>
      <t xml:space="preserve">
Perikardsjukdom · s. 14 · Socialstyrelsens mål: STc8, STc10
</t>
    </r>
    <r>
      <rPr>
        <sz val="9"/>
        <color rgb="FF000000"/>
        <rFont val="Arial"/>
        <family val="2"/>
      </rPr>
      <t>• Epidemiologi, patofysiologi, symtom, differentialdiagnoser, undersökningsmetoder, behandlingsprinciper, komplikationer och prognos vid akut samt kronisk perikardit
• Basal kännedom om konstriktiv perikardit.</t>
    </r>
  </si>
  <si>
    <t>Antitrombotiska läkemedel (ASA, P2Y12-hämmare, GP IIb/IIIa-hämmare; antikoagulantia (UFH, LMWH, bivalirudin, fondaparinux): verkningsmekanism, dosering, interaktioner, eventuell reversering</t>
  </si>
  <si>
    <t>Bygger på SvKF</t>
  </si>
  <si>
    <r>
      <rPr>
        <b/>
        <sz val="9"/>
        <color rgb="FF1B3A5C"/>
        <rFont val="Arial"/>
        <family val="2"/>
      </rPr>
      <t xml:space="preserve">Klinisk farmakologi · s. 19 · Socialstyrelsens mål: ingår i de flesta c-målen
</t>
    </r>
    <r>
      <rPr>
        <sz val="9"/>
        <color rgb="FF000000"/>
        <rFont val="Arial"/>
        <family val="2"/>
      </rPr>
      <t>• Indikationer/kontraindikationer, farmakokinetik, verkningsmekanismer, vanliga och/eller allvarliga interaktioner, biverkningar och toxiska effekter för kardiovaskulära läkemedel, med fokus på följande grupper:
    – Antikoagulantia.
    – Trombocythämmare.</t>
    </r>
  </si>
  <si>
    <t>Läkemedelsexemplen är tillagda.</t>
  </si>
  <si>
    <t>Antiischemisk läkemedel: betablockad, kalciumantagonister, nitrater, ranolazin, ivabradin, nikorandil; verkningsmekanismer, dosering, interaktioner, och kontraindikationer</t>
  </si>
  <si>
    <t>Bygger på SvKF</t>
  </si>
  <si>
    <r>
      <rPr>
        <b/>
        <sz val="9"/>
        <color rgb="FF1B3A5C"/>
        <rFont val="Arial"/>
        <family val="2"/>
      </rPr>
      <t xml:space="preserve">Klinisk farmakologi · s. 19 · Socialstyrelsens mål: ingår i de flesta c-målen
</t>
    </r>
    <r>
      <rPr>
        <sz val="9"/>
        <color rgb="FF000000"/>
        <rFont val="Arial"/>
        <family val="2"/>
      </rPr>
      <t>• Indikationer/kontraindikationer, farmakokinetik, verkningsmekanismer, vanliga och/eller allvarliga interaktioner, biverkningar och toxiska effekter för kardiovaskulära läkemedel, med fokus på följande grupper:
    – Beta- och alfareceptorblockad.
    – Kalciumantagonister.
    – Nitrater.</t>
    </r>
  </si>
  <si>
    <t>Läkemedelsexemplen är tillagda.</t>
  </si>
  <si>
    <t>Lipidsänkande behandling (statiner, ezetimib, PCSK9-hämmare, ikosapentetyl, fibrater, bempedoinsyra, inklisiran): verkningsmekanism, dosering, interaktioner, hantering av statinintolerans</t>
  </si>
  <si>
    <t>Bygger på SvKF</t>
  </si>
  <si>
    <r>
      <rPr>
        <b/>
        <sz val="9"/>
        <color rgb="FF1B3A5C"/>
        <rFont val="Arial"/>
        <family val="2"/>
      </rPr>
      <t xml:space="preserve">Klinisk farmakologi · s. 19 · Socialstyrelsens mål: ingår i de flesta c-målen
</t>
    </r>
    <r>
      <rPr>
        <sz val="9"/>
        <color rgb="FF000000"/>
        <rFont val="Arial"/>
        <family val="2"/>
      </rPr>
      <t xml:space="preserve">• Indikationer/kontraindikationer, farmakokinetik, verkningsmekanismer, vanliga och/eller allvarliga interaktioner, biverkningar och toxiska effekter för kardiovaskulära läkemedel, med fokus på följande grupper:
    – Lipidsänkare.
</t>
    </r>
    <r>
      <rPr>
        <b/>
        <sz val="9"/>
        <color rgb="FF1B3A5C"/>
        <rFont val="Arial"/>
        <family val="2"/>
      </rPr>
      <t xml:space="preserve">
Preventiv kardiologi · s. 18 · Socialstyrelsens mål: STc12
</t>
    </r>
    <r>
      <rPr>
        <sz val="9"/>
        <color rgb="FF000000"/>
        <rFont val="Arial"/>
        <family val="2"/>
      </rPr>
      <t>• Utredning och behandling avseende:
    – Dyslipidemier.</t>
    </r>
  </si>
  <si>
    <t>Läkemedelsexemplen är tillagda.</t>
  </si>
  <si>
    <t>Akuta thorakala aortasjukdomar (aortadissektion, PAU, IMH): klassifikation och patofysiologi</t>
  </si>
  <si>
    <t>Ordagrant</t>
  </si>
  <si>
    <r>
      <rPr>
        <b/>
        <sz val="9"/>
        <color rgb="FF1B3A5C"/>
        <rFont val="Arial"/>
        <family val="2"/>
      </rPr>
      <t xml:space="preserve">Aortasjukdomar · s. 13 · Socialstyrelsens mål: STc6, STc11
</t>
    </r>
    <r>
      <rPr>
        <sz val="9"/>
        <color rgb="FF000000"/>
        <rFont val="Arial"/>
        <family val="2"/>
      </rPr>
      <t>• Klassifikation, epidemiologi, orsaker, patofysiologi, klinisk bild, differentialdiagnoser, diagnostik, behandling, prognos och uppföljning vid thorakal aortasjukdom.
• Akut omhändertagande av patient med akut aortasyndrom.</t>
    </r>
  </si>
  <si>
    <t>Exemplen i parentes är tillagda.</t>
  </si>
  <si>
    <t>Redogöra för hur graviditet, förlossning och postpartumperiod påverkar hemodynamiken hos den friska kvinnan samt kvinnor med hjärtsjukdom eller aortasjukdom</t>
  </si>
  <si>
    <t>Ordagrant</t>
  </si>
  <si>
    <r>
      <rPr>
        <b/>
        <sz val="9"/>
        <color rgb="FF1B3A5C"/>
        <rFont val="Arial"/>
        <family val="2"/>
      </rPr>
      <t xml:space="preserve">Graviditet och hjärtsjukdom · s. 17 · Socialstyrelsens mål: STc10
</t>
    </r>
    <r>
      <rPr>
        <sz val="9"/>
        <color rgb="FF000000"/>
        <rFont val="Arial"/>
        <family val="2"/>
      </rPr>
      <t>• Redogöra för hur graviditet, förlossning och postpartumperiod påverkar hemodynamik hos den friska kvinnan samt kvinnor med hjärtsjukdom eller aortasjukdom.</t>
    </r>
  </si>
  <si>
    <t>EKG-tolkning vid ischemi och myoperikardit samt ischemimonitorering</t>
  </si>
  <si>
    <t>Bygger på SvKF</t>
  </si>
  <si>
    <r>
      <rPr>
        <b/>
        <sz val="9"/>
        <color rgb="FF1B3A5C"/>
        <rFont val="Arial"/>
        <family val="2"/>
      </rPr>
      <t xml:space="preserve">Akut koronart syndrom (AKS) · s. 9 · Socialstyrelsens mål: STc7
</t>
    </r>
    <r>
      <rPr>
        <sz val="9"/>
        <color rgb="FF000000"/>
        <rFont val="Arial"/>
        <family val="2"/>
      </rPr>
      <t xml:space="preserve">• Diagnostik av AKS inkluderande anamnes, status, klinisk bild, EKG, ischemimonitorering och biokemiska markörer, samt klassifikation av hjärtinfarkt.
</t>
    </r>
    <r>
      <rPr>
        <b/>
        <sz val="9"/>
        <color rgb="FF1B3A5C"/>
        <rFont val="Arial"/>
        <family val="2"/>
      </rPr>
      <t xml:space="preserve">
Noninvasiv bild- och funktionsdiagnostik › Utföra och tolka · s. 20 · Socialstyrelsens mål: STc7
</t>
    </r>
    <r>
      <rPr>
        <sz val="9"/>
        <color rgb="FF000000"/>
        <rFont val="Arial"/>
        <family val="2"/>
      </rPr>
      <t xml:space="preserve">• EKG.
</t>
    </r>
    <r>
      <rPr>
        <b/>
        <sz val="9"/>
        <color rgb="FF1B3A5C"/>
        <rFont val="Arial"/>
        <family val="2"/>
      </rPr>
      <t xml:space="preserve">
Akut omhändertagande av livshotande kardiologiska tillstånd · s. 8 · Socialstyrelsens mål: STc6
</t>
    </r>
    <r>
      <rPr>
        <sz val="9"/>
        <color rgb="FF000000"/>
        <rFont val="Arial"/>
        <family val="2"/>
      </rPr>
      <t>• Ischemisk och hemodynamisk monitorering.</t>
    </r>
  </si>
  <si>
    <t>Strukturerad differentialdiagnostik vid akut bröstsmärta (AKS, aortadissektion, lungemboli, perikardit/myokardit, pneumothorax, esofagussjukdom, muskuloskeletalt, panikångest)</t>
  </si>
  <si>
    <t>Bygger på SvKF</t>
  </si>
  <si>
    <r>
      <rPr>
        <b/>
        <sz val="9"/>
        <color rgb="FF1B3A5C"/>
        <rFont val="Arial"/>
        <family val="2"/>
      </rPr>
      <t xml:space="preserve">Akut koronart syndrom (AKS) · s. 9 · Socialstyrelsens mål: STc7
</t>
    </r>
    <r>
      <rPr>
        <sz val="9"/>
        <color rgb="FF000000"/>
        <rFont val="Arial"/>
        <family val="2"/>
      </rPr>
      <t xml:space="preserve">• Patofysiologi vid AKS för aterosklerotiska och icke-aterosklerotiska tillstånd, samt differentialdiagnostik vid AKS.
</t>
    </r>
    <r>
      <rPr>
        <b/>
        <sz val="9"/>
        <color rgb="FF1B3A5C"/>
        <rFont val="Arial"/>
        <family val="2"/>
      </rPr>
      <t xml:space="preserve">
Kronisk koronart syndrom (stabil kranskärlssjukdom) · s. 9 · Socialstyrelsens mål: STc7
</t>
    </r>
    <r>
      <rPr>
        <sz val="9"/>
        <color rgb="FF000000"/>
        <rFont val="Arial"/>
        <family val="2"/>
      </rPr>
      <t xml:space="preserve">• Klassifikation, epidemiologi, orsaker, patofysiologi, klinisk bild och differentialdiagnoser vid kronisk kranskärlssjukdom.
</t>
    </r>
    <r>
      <rPr>
        <b/>
        <sz val="9"/>
        <color rgb="FF1B3A5C"/>
        <rFont val="Arial"/>
        <family val="2"/>
      </rPr>
      <t xml:space="preserve">
Akut omhändertagande av livshotande kardiologiska tillstånd · s. 8 · Socialstyrelsens mål: STc6
</t>
    </r>
    <r>
      <rPr>
        <sz val="9"/>
        <color rgb="FF000000"/>
        <rFont val="Arial"/>
        <family val="2"/>
      </rPr>
      <t xml:space="preserve">• Klassifikation, epidemiologi, orsaker, patofysiologi, klinisk bild, differentialdiagnoser, diagnostik, behandling och prognos vid hjärtstillestånd, akuta hjärtsjukdomar och mekaniska komplikationer.
</t>
    </r>
    <r>
      <rPr>
        <b/>
        <sz val="9"/>
        <color rgb="FF1B3A5C"/>
        <rFont val="Arial"/>
        <family val="2"/>
      </rPr>
      <t xml:space="preserve">
Aortasjukdomar · s. 13 · Socialstyrelsens mål: STc6, STc11
</t>
    </r>
    <r>
      <rPr>
        <sz val="9"/>
        <color rgb="FF000000"/>
        <rFont val="Arial"/>
        <family val="2"/>
      </rPr>
      <t xml:space="preserve">• Klassifikation, epidemiologi, orsaker, patofysiologi, klinisk bild, differentialdiagnoser, diagnostik, behandling, prognos och uppföljning vid thorakal aortasjukdom.
</t>
    </r>
    <r>
      <rPr>
        <b/>
        <sz val="9"/>
        <color rgb="FF1B3A5C"/>
        <rFont val="Arial"/>
        <family val="2"/>
      </rPr>
      <t xml:space="preserve">
Venös tromboembolism · s. 13 · Socialstyrelsens mål: STc6
</t>
    </r>
    <r>
      <rPr>
        <sz val="9"/>
        <color rgb="FF000000"/>
        <rFont val="Arial"/>
        <family val="2"/>
      </rPr>
      <t xml:space="preserve">• Epidemiologi, riskfaktorer, patofysiologi, symtomatologi, diagnostik, behandling och prevention av venös tromboembolism, inklusive akut tromboflebit, djup ventrombos, akut lungemboli och kronisk tromboembolisk pulmonell hypertension.
</t>
    </r>
    <r>
      <rPr>
        <b/>
        <sz val="9"/>
        <color rgb="FF1B3A5C"/>
        <rFont val="Arial"/>
        <family val="2"/>
      </rPr>
      <t xml:space="preserve">
Perikardsjukdom · s. 14 · Socialstyrelsens mål: STc8, STc10
</t>
    </r>
    <r>
      <rPr>
        <sz val="9"/>
        <color rgb="FF000000"/>
        <rFont val="Arial"/>
        <family val="2"/>
      </rPr>
      <t>• Epidemiologi, patofysiologi, symtom, differentialdiagnoser, undersökningsmetoder, behandlingsprinciper, komplikationer och prognos vid akut samt kronisk perikardit</t>
    </r>
  </si>
  <si>
    <t>Egen sammanslagning av differentialdiagnostik vid AKS och KKS till bröstsmärta.</t>
  </si>
  <si>
    <t>Utredning och diagnostik vid misstänkt kranskärlssjukdom</t>
  </si>
  <si>
    <t>Bygger på SvKF</t>
  </si>
  <si>
    <r>
      <rPr>
        <b/>
        <sz val="9"/>
        <color rgb="FF1B3A5C"/>
        <rFont val="Arial"/>
        <family val="2"/>
      </rPr>
      <t xml:space="preserve">Kronisk koronart syndrom (stabil kranskärlssjukdom) · s. 9 · Socialstyrelsens mål: STc7
</t>
    </r>
    <r>
      <rPr>
        <sz val="9"/>
        <color rgb="FF000000"/>
        <rFont val="Arial"/>
        <family val="2"/>
      </rPr>
      <t>• Klassifikation, epidemiologi, orsaker, patofysiologi, klinisk bild och differentialdiagnoser vid kronisk kranskärlssjukdom.
• Invasiva och noninvasiva diagnostiska undersökningsmetoder för att utvärdera ischemi, viabilitet, hjärtmorfologi och hjärtfunktion samt kranskärlsanatomi.</t>
    </r>
  </si>
  <si>
    <t>Strukturerad utredning av MINOCA</t>
  </si>
  <si>
    <t>Bygger på SvKF</t>
  </si>
  <si>
    <r>
      <rPr>
        <b/>
        <sz val="9"/>
        <color rgb="FF1B3A5C"/>
        <rFont val="Arial"/>
        <family val="2"/>
      </rPr>
      <t xml:space="preserve">Akut koronart syndrom (AKS) · s. 9 · Socialstyrelsens mål: STc7
</t>
    </r>
    <r>
      <rPr>
        <sz val="9"/>
        <color rgb="FF000000"/>
        <rFont val="Arial"/>
        <family val="2"/>
      </rPr>
      <t>• Patofysiologi vid AKS för aterosklerotiska och icke-aterosklerotiska tillstånd, samt differentialdiagnostik vid AKS.
• Diagnostiska undersökningsmetoder för att utvärdera ischemi, viabilitet, hjärtmorfologi, funktion samt kranskärlsanatomi.</t>
    </r>
  </si>
  <si>
    <t>MINOCA nämns inte med namn i SvKF 2022.</t>
  </si>
  <si>
    <t>Biokemiska hjärtskademarkörer: använda hs-troponin I/T, CK-MB samt kunna tillämpa förhöjt troponin utanför AKS</t>
  </si>
  <si>
    <t>Bygger på SvKF</t>
  </si>
  <si>
    <r>
      <rPr>
        <b/>
        <sz val="9"/>
        <color rgb="FF1B3A5C"/>
        <rFont val="Arial"/>
        <family val="2"/>
      </rPr>
      <t xml:space="preserve">Akut koronart syndrom (AKS) · s. 9 · Socialstyrelsens mål: STc7
</t>
    </r>
    <r>
      <rPr>
        <sz val="9"/>
        <color rgb="FF000000"/>
        <rFont val="Arial"/>
        <family val="2"/>
      </rPr>
      <t>• Diagnostik av AKS inkluderande anamnes, status, klinisk bild, EKG, ischemimonitorering och biokemiska markörer, samt klassifikation av hjärtinfarkt.</t>
    </r>
  </si>
  <si>
    <t>Icke-invasiv funktionell diagnostik: arbets-EKG, stresseko, myokardscintigrafi, stress-MR; indikationer, styrkor, begränsningar och tillämpning till rätt patient</t>
  </si>
  <si>
    <t>Bygger på SvKF</t>
  </si>
  <si>
    <r>
      <rPr>
        <b/>
        <sz val="9"/>
        <color rgb="FF1B3A5C"/>
        <rFont val="Arial"/>
        <family val="2"/>
      </rPr>
      <t xml:space="preserve">Kronisk koronart syndrom (stabil kranskärlssjukdom) · s. 9 · Socialstyrelsens mål: STc7
</t>
    </r>
    <r>
      <rPr>
        <sz val="9"/>
        <color rgb="FF000000"/>
        <rFont val="Arial"/>
        <family val="2"/>
      </rPr>
      <t xml:space="preserve">• Invasiva och noninvasiva diagnostiska undersökningsmetoder för att utvärdera ischemi, viabilitet, hjärtmorfologi och hjärtfunktion samt kranskärlsanatomi.
</t>
    </r>
    <r>
      <rPr>
        <b/>
        <sz val="9"/>
        <color rgb="FF1B3A5C"/>
        <rFont val="Arial"/>
        <family val="2"/>
      </rPr>
      <t xml:space="preserve">
Noninvasiv bild- och funktionsdiagnostik › Allmänt · s. 20 · Socialstyrelsens mål: STc7
</t>
    </r>
    <r>
      <rPr>
        <sz val="9"/>
        <color rgb="FF000000"/>
        <rFont val="Arial"/>
        <family val="2"/>
      </rPr>
      <t xml:space="preserve">• Indikationer, kontraindikationer, styrkor och begränsningar, samt komplikationer till noninvasiva undersökningar.
</t>
    </r>
    <r>
      <rPr>
        <b/>
        <sz val="9"/>
        <color rgb="FF1B3A5C"/>
        <rFont val="Arial"/>
        <family val="2"/>
      </rPr>
      <t xml:space="preserve">
Noninvasiv bild- och funktionsdiagnostik › Utföra och tolka · s. 20 · Socialstyrelsens mål: STc7
</t>
    </r>
    <r>
      <rPr>
        <sz val="9"/>
        <color rgb="FF000000"/>
        <rFont val="Arial"/>
        <family val="2"/>
      </rPr>
      <t xml:space="preserve">• Arbetsprov.
• Stress-ekokardiografi.
</t>
    </r>
    <r>
      <rPr>
        <b/>
        <sz val="9"/>
        <color rgb="FF1B3A5C"/>
        <rFont val="Arial"/>
        <family val="2"/>
      </rPr>
      <t xml:space="preserve">
Noninvasiv bild- och funktionsdiagnostik › Grundläggande bildtolkning · s. 20 · Socialstyrelsens mål: STc7
</t>
    </r>
    <r>
      <rPr>
        <sz val="9"/>
        <color rgb="FF000000"/>
        <rFont val="Arial"/>
        <family val="2"/>
      </rPr>
      <t>• Magnetresonanstomografi (MR)
• Nuklearmedicinsk bilddiagnostik (scintigrafi och positionemissionstomografi (PET)).</t>
    </r>
  </si>
  <si>
    <t>Icke-invasiv anatomisk diagnostik: DT-kranskärl, kalciumscore; indikationer, tolkningsprinciper, val mellan DT och invasiv angio</t>
  </si>
  <si>
    <t>Bygger på SvKF</t>
  </si>
  <si>
    <r>
      <rPr>
        <b/>
        <sz val="9"/>
        <color rgb="FF1B3A5C"/>
        <rFont val="Arial"/>
        <family val="2"/>
      </rPr>
      <t xml:space="preserve">Kronisk koronart syndrom (stabil kranskärlssjukdom) · s. 9 · Socialstyrelsens mål: STc7
</t>
    </r>
    <r>
      <rPr>
        <sz val="9"/>
        <color rgb="FF000000"/>
        <rFont val="Arial"/>
        <family val="2"/>
      </rPr>
      <t xml:space="preserve">• Invasiva och noninvasiva diagnostiska undersökningsmetoder för att utvärdera ischemi, viabilitet, hjärtmorfologi och hjärtfunktion samt kranskärlsanatomi.
</t>
    </r>
    <r>
      <rPr>
        <b/>
        <sz val="9"/>
        <color rgb="FF1B3A5C"/>
        <rFont val="Arial"/>
        <family val="2"/>
      </rPr>
      <t xml:space="preserve">
Noninvasiv bild- och funktionsdiagnostik › Allmänt · s. 20 · Socialstyrelsens mål: STc7
</t>
    </r>
    <r>
      <rPr>
        <sz val="9"/>
        <color rgb="FF000000"/>
        <rFont val="Arial"/>
        <family val="2"/>
      </rPr>
      <t xml:space="preserve">• Indikationer, kontraindikationer, styrkor och begränsningar, samt komplikationer till noninvasiva undersökningar.
</t>
    </r>
    <r>
      <rPr>
        <b/>
        <sz val="9"/>
        <color rgb="FF1B3A5C"/>
        <rFont val="Arial"/>
        <family val="2"/>
      </rPr>
      <t xml:space="preserve">
Noninvasiv bild- och funktionsdiagnostik › Grundläggande bildtolkning · s. 20 · Socialstyrelsens mål: STc7
</t>
    </r>
    <r>
      <rPr>
        <sz val="9"/>
        <color rgb="FF000000"/>
        <rFont val="Arial"/>
        <family val="2"/>
      </rPr>
      <t>• Datortomografi (DT), inklusive koronar kalciumscore och FFR (fractional flow reserve)</t>
    </r>
  </si>
  <si>
    <t>Diagnostik och utredning vid misstänkt myokardit (EKG fynd, EKO/MR fynd och indikationer för respektive undersökning, biomarkörer som CRP, trop och NTprobnp, indikation för biopsi)</t>
  </si>
  <si>
    <t>Bygger på SvKF</t>
  </si>
  <si>
    <r>
      <rPr>
        <b/>
        <sz val="9"/>
        <color rgb="FF1B3A5C"/>
        <rFont val="Arial"/>
        <family val="2"/>
      </rPr>
      <t xml:space="preserve">Myokarditer · s. 15 · Socialstyrelsens mål: STc8, STc10
</t>
    </r>
    <r>
      <rPr>
        <sz val="9"/>
        <color rgb="FF000000"/>
        <rFont val="Arial"/>
        <family val="2"/>
      </rPr>
      <t>• Definition, orsaker, kliniska tecken, symtom, patologi, utredning, prognos och diagnostiska kriterier för infektiös och icke-infektiös myokardit.
• Värdering och tillämpning av noninvasiva och invasiva diagnostiska metoder vid myokardit.</t>
    </r>
  </si>
  <si>
    <t>Diagnostik och utredning vid misstänkt perikardit (EKG fynd, EKO, CRP/SR/trop/NTproBNP, indikation för biopsi och val av bildgivande diagnostik vid recidiverande eller konstrktiv perikardit)</t>
  </si>
  <si>
    <t>Bygger på SvKF</t>
  </si>
  <si>
    <r>
      <rPr>
        <b/>
        <sz val="9"/>
        <color rgb="FF1B3A5C"/>
        <rFont val="Arial"/>
        <family val="2"/>
      </rPr>
      <t xml:space="preserve">Perikardsjukdom · s. 14 · Socialstyrelsens mål: STc8, STc10
</t>
    </r>
    <r>
      <rPr>
        <sz val="9"/>
        <color rgb="FF000000"/>
        <rFont val="Arial"/>
        <family val="2"/>
      </rPr>
      <t>• Epidemiologi, patofysiologi, symtom, differentialdiagnoser, undersökningsmetoder, behandlingsprinciper, komplikationer och prognos vid akut samt kronisk perikardit
• Val och basal tolkning av noninvasiva bilddiagnostiska metoder och invasiv hemodynamisk tryckmätning för diagnos av perikardsjukdom.</t>
    </r>
  </si>
  <si>
    <t>Kliniska tecken, symtom, akut diagnostik och behandling av akut hjärtkärlsjukdom hos gravida inkl lungemboli, aortadissektion och hjärtinfarkt.</t>
  </si>
  <si>
    <t>Ordagrant</t>
  </si>
  <si>
    <r>
      <rPr>
        <b/>
        <sz val="9"/>
        <color rgb="FF1B3A5C"/>
        <rFont val="Arial"/>
        <family val="2"/>
      </rPr>
      <t xml:space="preserve">Graviditet och hjärtsjukdom · s. 17 · Socialstyrelsens mål: STc10
</t>
    </r>
    <r>
      <rPr>
        <sz val="9"/>
        <color rgb="FF000000"/>
        <rFont val="Arial"/>
        <family val="2"/>
      </rPr>
      <t>• Kliniska tecken, symtom, akut diagnostik och behandling av akut hjärtkärlsjukdom hos gravida inklusive lungemboli, aortadissektion och hjärtinfarkt.</t>
    </r>
  </si>
  <si>
    <t>Strukturerad utredning av patient med misstänkt familjär hyperkolesterolemi</t>
  </si>
  <si>
    <t>Bygger på SvKF</t>
  </si>
  <si>
    <r>
      <rPr>
        <b/>
        <sz val="9"/>
        <color rgb="FF1B3A5C"/>
        <rFont val="Arial"/>
        <family val="2"/>
      </rPr>
      <t xml:space="preserve">Genetik vid hjärtsjukdom · s. 16 · Socialstyrelsens mål: STc10
</t>
    </r>
    <r>
      <rPr>
        <sz val="9"/>
        <color rgb="FF000000"/>
        <rFont val="Arial"/>
        <family val="2"/>
      </rPr>
      <t xml:space="preserve">• Klassifikation, epidemiologi, patofysiologi, symtom, differentialdiagnoser, undersökningsmetoder, behandling och prognos för ärftliga kardiovaskulära sjukdomar med särskilt fokus på kardiomyopatier, arytmier, aortopatier och dyslipidemier. Exempelvis:
    – Familjär hyperkolesterolemi.
</t>
    </r>
    <r>
      <rPr>
        <b/>
        <sz val="9"/>
        <color rgb="FF1B3A5C"/>
        <rFont val="Arial"/>
        <family val="2"/>
      </rPr>
      <t xml:space="preserve">
Preventiv kardiologi · s. 18 · Socialstyrelsens mål: STc12
</t>
    </r>
    <r>
      <rPr>
        <sz val="9"/>
        <color rgb="FF000000"/>
        <rFont val="Arial"/>
        <family val="2"/>
      </rPr>
      <t>• Utredning och behandling avseende:
    – Dyslipidemier.</t>
    </r>
  </si>
  <si>
    <t>Utredning, diagnostik och handläggning av perikardvätska</t>
  </si>
  <si>
    <t>Bygger på SvKF</t>
  </si>
  <si>
    <r>
      <rPr>
        <b/>
        <sz val="9"/>
        <color rgb="FF1B3A5C"/>
        <rFont val="Arial"/>
        <family val="2"/>
      </rPr>
      <t xml:space="preserve">Perikardsjukdom · s. 14 · Socialstyrelsens mål: STc8, STc10
</t>
    </r>
    <r>
      <rPr>
        <sz val="9"/>
        <color rgb="FF000000"/>
        <rFont val="Arial"/>
        <family val="2"/>
      </rPr>
      <t>• Epidemiologi, patofysiologi, symtom, differentialdiagnoser, undersökningsmetoder, behandlingsprinciper, komplikationer och prognos vid akut samt kronisk perikardit
• Handläggning av hotande och manifest hjärttamponad samt grundläggande praktisk kunskap för utförandet av urakut perikardiocentes.</t>
    </r>
  </si>
  <si>
    <t>Diagnostik vid akut och kronisk thorakal aortasjukdom (DT, MR, TEE, TTE, d-dimer och ADD-RS)</t>
  </si>
  <si>
    <t>Ordagrant</t>
  </si>
  <si>
    <r>
      <rPr>
        <b/>
        <sz val="9"/>
        <color rgb="FF1B3A5C"/>
        <rFont val="Arial"/>
        <family val="2"/>
      </rPr>
      <t xml:space="preserve">Aortasjukdomar · s. 13 · Socialstyrelsens mål: STc6, STc11
</t>
    </r>
    <r>
      <rPr>
        <sz val="9"/>
        <color rgb="FF000000"/>
        <rFont val="Arial"/>
        <family val="2"/>
      </rPr>
      <t>• Klassifikation, epidemiologi, orsaker, patofysiologi, klinisk bild, differentialdiagnoser, diagnostik, behandling, prognos och uppföljning vid thorakal aortasjukdom.</t>
    </r>
  </si>
  <si>
    <t>Metoderna i parentes är tillagda.</t>
  </si>
  <si>
    <t>Riskstratifiera AKS (TIMI, GRACE), använda resultatet för att styra tidpunkt för invasiv utredning och bedöma adekvat vårdnivå</t>
  </si>
  <si>
    <t>Ordagrant</t>
  </si>
  <si>
    <r>
      <rPr>
        <b/>
        <sz val="9"/>
        <color rgb="FF1B3A5C"/>
        <rFont val="Arial"/>
        <family val="2"/>
      </rPr>
      <t xml:space="preserve">Akut koronart syndrom (AKS) · s. 9 · Socialstyrelsens mål: STc7
</t>
    </r>
    <r>
      <rPr>
        <sz val="9"/>
        <color rgb="FF000000"/>
        <rFont val="Arial"/>
        <family val="2"/>
      </rPr>
      <t>• Riskstratifikation vid AKS samt kunna bedöma adekvat vårdnivå.
• Behandling vid AKS; inkluderande prehospitalt omhändertagande, antitrombotisk och antiischemisk läkemedelsbehandling, indikationer, kontraindikationer och tidsperspektiv för invasiv utredning och val av revaskularisering i akutskede.</t>
    </r>
  </si>
  <si>
    <t>TIMI/GRACE är tillagda exempel.</t>
  </si>
  <si>
    <t>Bedöma blödningsrisk vid AKS och balansera mot trombosrisk vid val av antitrombotisk strategi och duration av DAPT, inkl deeskalering och hantering av dessa vid planerad kirurgi</t>
  </si>
  <si>
    <t>Bygger på SvKF</t>
  </si>
  <si>
    <r>
      <rPr>
        <b/>
        <sz val="9"/>
        <color rgb="FF1B3A5C"/>
        <rFont val="Arial"/>
        <family val="2"/>
      </rPr>
      <t xml:space="preserve">Akut koronart syndrom (AKS) · s. 9 · Socialstyrelsens mål: STc7
</t>
    </r>
    <r>
      <rPr>
        <sz val="9"/>
        <color rgb="FF000000"/>
        <rFont val="Arial"/>
        <family val="2"/>
      </rPr>
      <t xml:space="preserve">• Behandling vid AKS; inkluderande prehospitalt omhändertagande, antitrombotisk och antiischemisk läkemedelsbehandling, indikationer, kontraindikationer och tidsperspektiv för invasiv utredning och val av revaskularisering i akutskede.
• Uppföljning och långsiktig behandling efter AKS.
</t>
    </r>
    <r>
      <rPr>
        <b/>
        <sz val="9"/>
        <color rgb="FF1B3A5C"/>
        <rFont val="Arial"/>
        <family val="2"/>
      </rPr>
      <t xml:space="preserve">
Klinisk farmakologi · s. 19 · Socialstyrelsens mål: ingår i de flesta c-målen
</t>
    </r>
    <r>
      <rPr>
        <sz val="9"/>
        <color rgb="FF000000"/>
        <rFont val="Arial"/>
        <family val="2"/>
      </rPr>
      <t xml:space="preserve">• Indikationer/kontraindikationer, farmakokinetik, verkningsmekanismer, vanliga och/eller allvarliga interaktioner, biverkningar och toxiska effekter för kardiovaskulära läkemedel, med fokus på följande grupper:
    – Trombocythämmare.
</t>
    </r>
    <r>
      <rPr>
        <b/>
        <sz val="9"/>
        <color rgb="FF1B3A5C"/>
        <rFont val="Arial"/>
        <family val="2"/>
      </rPr>
      <t xml:space="preserve">
Preoperativ bedömning · s. 22 · Socialstyrelsens mål: specifikt mål saknas
</t>
    </r>
    <r>
      <rPr>
        <sz val="9"/>
        <color rgb="FF000000"/>
        <rFont val="Arial"/>
        <family val="2"/>
      </rPr>
      <t>• Värdera optimalt tidsfönster för uppehåll i antitrombotisk behandling vid kirurgi hos patienter med kardiovaskulär sjukdom.</t>
    </r>
  </si>
  <si>
    <t>Blödningsrisk vid AKS och DAPT-strategi är en egen konkretisering.</t>
  </si>
  <si>
    <t>Bedöma samsjuklighet (njursvikt, diabetes, hög ålder, anemi, tidigare blödning, kognitiv svikt, skörhet) och dess betydelse för behandlingsval</t>
  </si>
  <si>
    <t>Bygger på SvKF</t>
  </si>
  <si>
    <r>
      <rPr>
        <b/>
        <sz val="9"/>
        <color rgb="FF1B3A5C"/>
        <rFont val="Arial"/>
        <family val="2"/>
      </rPr>
      <t xml:space="preserve">Akut koronart syndrom (AKS) · s. 9 · Socialstyrelsens mål: STc7
</t>
    </r>
    <r>
      <rPr>
        <sz val="9"/>
        <color rgb="FF000000"/>
        <rFont val="Arial"/>
        <family val="2"/>
      </rPr>
      <t xml:space="preserve">• Samsjuklighet vid AKS.
</t>
    </r>
    <r>
      <rPr>
        <b/>
        <sz val="9"/>
        <color rgb="FF1B3A5C"/>
        <rFont val="Arial"/>
        <family val="2"/>
      </rPr>
      <t xml:space="preserve">
Kronisk koronart syndrom (stabil kranskärlssjukdom) · s. 9 · Socialstyrelsens mål: STc7
</t>
    </r>
    <r>
      <rPr>
        <sz val="9"/>
        <color rgb="FF000000"/>
        <rFont val="Arial"/>
        <family val="2"/>
      </rPr>
      <t>• Samsjuklighet vid kronisk ischemisk hjärtsjukdom.</t>
    </r>
  </si>
  <si>
    <t>Strukturerad riskfaktorbedömning vid KKS: SCORE2/SCORE2-OP, lipider, BT, glukos, BMI, rökning, psykosocial stress</t>
  </si>
  <si>
    <t>Bygger på SvKF</t>
  </si>
  <si>
    <r>
      <rPr>
        <b/>
        <sz val="9"/>
        <color rgb="FF1B3A5C"/>
        <rFont val="Arial"/>
        <family val="2"/>
      </rPr>
      <t xml:space="preserve">Preventiv kardiologi · s. 18 · Socialstyrelsens mål: STc12
</t>
    </r>
    <r>
      <rPr>
        <sz val="9"/>
        <color rgb="FF000000"/>
        <rFont val="Arial"/>
        <family val="2"/>
      </rPr>
      <t xml:space="preserve">• Definiera och identifiera riskfaktorer för hjärtkärlsjukdom både för enskilda individer och i samhället, inklusive ogynnsamma faktorer i miljön (luftföroreningar).
• Värdera kardiovaskulär sjukdomsrisk och vinst av riskfaktorintervention för den enskilda individen.
• Sjukdomsförebyggande metoder och rådgivning avseende ohälsosamma levnadsvanor: rökning, fysisk inaktivitet, ogynnsamma matvanor, alkoholkonsumtion.
</t>
    </r>
    <r>
      <rPr>
        <b/>
        <sz val="9"/>
        <color rgb="FF1B3A5C"/>
        <rFont val="Arial"/>
        <family val="2"/>
      </rPr>
      <t xml:space="preserve">
Kronisk koronart syndrom (stabil kranskärlssjukdom) · s. 9 · Socialstyrelsens mål: STc7
</t>
    </r>
    <r>
      <rPr>
        <sz val="9"/>
        <color rgb="FF000000"/>
        <rFont val="Arial"/>
        <family val="2"/>
      </rPr>
      <t>• Riskstratifiering vid kronisk kranskärlssjukdom.</t>
    </r>
  </si>
  <si>
    <t>Preoperativ kardiovaskulär riskbedömning inför icke-kardiell kirurgi</t>
  </si>
  <si>
    <t>Ordagrant</t>
  </si>
  <si>
    <r>
      <rPr>
        <b/>
        <sz val="9"/>
        <color rgb="FF1B3A5C"/>
        <rFont val="Arial"/>
        <family val="2"/>
      </rPr>
      <t xml:space="preserve">Preoperativ bedömning · s. 22 · Socialstyrelsens mål: specifikt mål saknas
</t>
    </r>
    <r>
      <rPr>
        <sz val="9"/>
        <color rgb="FF000000"/>
        <rFont val="Arial"/>
        <family val="2"/>
      </rPr>
      <t>• Kardiovaskulär riskstratifiering inför kirurgi hos patienter med känd kardiovaskulär sjukdom.
• Värdera kardiovaskulär risk i relation till typ av kirurgiskt ingrepp, hur akut ingreppet är och relaterat till underliggande kardiovaskulär sjukdom.</t>
    </r>
  </si>
  <si>
    <t>Bedömning av risk och prognos vid aortasjukdomar: storlek, tillväxthastighet, genetik och indikation för elektiv kirurgi</t>
  </si>
  <si>
    <t>Bygger på SvKF</t>
  </si>
  <si>
    <r>
      <rPr>
        <b/>
        <sz val="9"/>
        <color rgb="FF1B3A5C"/>
        <rFont val="Arial"/>
        <family val="2"/>
      </rPr>
      <t xml:space="preserve">Aortasjukdomar · s. 13 · Socialstyrelsens mål: STc6, STc11
</t>
    </r>
    <r>
      <rPr>
        <sz val="9"/>
        <color rgb="FF000000"/>
        <rFont val="Arial"/>
        <family val="2"/>
      </rPr>
      <t>• Klassifikation, epidemiologi, orsaker, patofysiologi, klinisk bild, differentialdiagnoser, diagnostik, behandling, prognos och uppföljning vid thorakal aortasjukdom.
• Medicinsk handläggning och kunskap om kirurgisk behandling vid thorakala aortasjukdomar.
• Genetiska syndrom vid aortasjukdom.</t>
    </r>
  </si>
  <si>
    <t>Besluta och motivera om val av revaskularisering (PCI vs CABG vs konservativ behandling)</t>
  </si>
  <si>
    <t>Bygger på SvKF</t>
  </si>
  <si>
    <r>
      <rPr>
        <b/>
        <sz val="9"/>
        <color rgb="FF1B3A5C"/>
        <rFont val="Arial"/>
        <family val="2"/>
      </rPr>
      <t xml:space="preserve">Kronisk koronart syndrom (stabil kranskärlssjukdom) · s. 9 · Socialstyrelsens mål: STc7
</t>
    </r>
    <r>
      <rPr>
        <sz val="9"/>
        <color rgb="FF000000"/>
        <rFont val="Arial"/>
        <family val="2"/>
      </rPr>
      <t xml:space="preserve">• Indikationer och kontraindikationer för invasiv utredning och val av revaskularisering.
• Handläggning av patienter i multidisciplinära team.
</t>
    </r>
    <r>
      <rPr>
        <b/>
        <sz val="9"/>
        <color rgb="FF1B3A5C"/>
        <rFont val="Arial"/>
        <family val="2"/>
      </rPr>
      <t xml:space="preserve">
Invasiv bild- och funktionsdiagnostik · s. 20 · Socialstyrelsens mål: STc7, STc8
</t>
    </r>
    <r>
      <rPr>
        <sz val="9"/>
        <color rgb="FF000000"/>
        <rFont val="Arial"/>
        <family val="2"/>
      </rPr>
      <t>• Val av adekvat behandlingsalternativ (läkemedel, perkutan intervention, kirurgi) utifrån klinisk bild och undersökningsresultat.</t>
    </r>
  </si>
  <si>
    <t>Identifiera kvinnor med hög risk för kardiella komplikationer inklusive preeklampsi och arytmi, vilka kan vara i behov av kardiell intervention före/under graviditet</t>
  </si>
  <si>
    <t>Ordagrant</t>
  </si>
  <si>
    <r>
      <rPr>
        <b/>
        <sz val="9"/>
        <color rgb="FF1B3A5C"/>
        <rFont val="Arial"/>
        <family val="2"/>
      </rPr>
      <t xml:space="preserve">Graviditet och hjärtsjukdom · s. 17 · Socialstyrelsens mål: STc10
</t>
    </r>
    <r>
      <rPr>
        <sz val="9"/>
        <color rgb="FF000000"/>
        <rFont val="Arial"/>
        <family val="2"/>
      </rPr>
      <t>• Identifiera kvinnor med hög risk för kardiella komplikationer inklusive preeklampsi och arytmi, vilka kan vara i behov av kardiell intervention före/under graviditet.</t>
    </r>
  </si>
  <si>
    <t>Behandling vid AKS: farmakologisk behandling vid AKS inkl antitrombotisk och antiischemisk behandling, tidfönster samt indikation/kontraindikation för invasiv reperfusionsbehandling, prehospital handläggning och besluta om typ av revaskularisering</t>
  </si>
  <si>
    <t>Ordagrant</t>
  </si>
  <si>
    <r>
      <rPr>
        <b/>
        <sz val="9"/>
        <color rgb="FF1B3A5C"/>
        <rFont val="Arial"/>
        <family val="2"/>
      </rPr>
      <t xml:space="preserve">Akut koronart syndrom (AKS) · s. 9 · Socialstyrelsens mål: STc7
</t>
    </r>
    <r>
      <rPr>
        <sz val="9"/>
        <color rgb="FF000000"/>
        <rFont val="Arial"/>
        <family val="2"/>
      </rPr>
      <t>• Behandling vid AKS; inkluderande prehospitalt omhändertagande, antitrombotisk och antiischemisk läkemedelsbehandling, indikationer, kontraindikationer och tidsperspektiv för invasiv utredning och val av revaskularisering i akutskede.</t>
    </r>
  </si>
  <si>
    <t>Behandling vid KKS: icke-farmakologisk, farmakologisk och invasiva utredning/åtgärd</t>
  </si>
  <si>
    <t>Ordagrant</t>
  </si>
  <si>
    <r>
      <rPr>
        <b/>
        <sz val="9"/>
        <color rgb="FF1B3A5C"/>
        <rFont val="Arial"/>
        <family val="2"/>
      </rPr>
      <t xml:space="preserve">Kronisk koronart syndrom (stabil kranskärlssjukdom) · s. 9 · Socialstyrelsens mål: STc7
</t>
    </r>
    <r>
      <rPr>
        <sz val="9"/>
        <color rgb="FF000000"/>
        <rFont val="Arial"/>
        <family val="2"/>
      </rPr>
      <t>• Behandling vid kronisk kranskärlssjukdom, både farmakologisk och icke-farmakologisk.
• Indikationer och kontraindikationer för invasiv utredning och val av revaskularisering.</t>
    </r>
  </si>
  <si>
    <t>Indikation för alternativa behandlingsmetoder vid refraktär angina (CSR, EECP, nicorandil, stötvågsbehandling, ryggmärgstimulering)</t>
  </si>
  <si>
    <t>Ordagrant</t>
  </si>
  <si>
    <r>
      <rPr>
        <b/>
        <sz val="9"/>
        <color rgb="FF1B3A5C"/>
        <rFont val="Arial"/>
        <family val="2"/>
      </rPr>
      <t xml:space="preserve">Kronisk koronart syndrom (stabil kranskärlssjukdom) · s. 9 · Socialstyrelsens mål: STc7
</t>
    </r>
    <r>
      <rPr>
        <sz val="9"/>
        <color rgb="FF000000"/>
        <rFont val="Arial"/>
        <family val="2"/>
      </rPr>
      <t>• Indikationer för alternativa behandlingsmetoder vid annars terapirefraktär angina.</t>
    </r>
  </si>
  <si>
    <t>Exemplen i parentes är tillagda.</t>
  </si>
  <si>
    <t>Läkemedelsbehandling i samband med invasiv kardiell utredning och behandling (antikoagulation, antitrombotiska, kontraststrategi och hydrering)</t>
  </si>
  <si>
    <t>Ordagrant</t>
  </si>
  <si>
    <r>
      <rPr>
        <b/>
        <sz val="9"/>
        <color rgb="FF1B3A5C"/>
        <rFont val="Arial"/>
        <family val="2"/>
      </rPr>
      <t xml:space="preserve">Invasiv bild- och funktionsdiagnostik · s. 20 · Socialstyrelsens mål: STc7, STc8
</t>
    </r>
    <r>
      <rPr>
        <sz val="9"/>
        <color rgb="FF000000"/>
        <rFont val="Arial"/>
        <family val="2"/>
      </rPr>
      <t>• Läkemedelsbehandling i samband med invasiv kardiell utredning och behandling.</t>
    </r>
  </si>
  <si>
    <t>Exemplen i parentes är tillagda.</t>
  </si>
  <si>
    <t>Behandling vid myokardit</t>
  </si>
  <si>
    <t>Ordagrant</t>
  </si>
  <si>
    <r>
      <rPr>
        <b/>
        <sz val="9"/>
        <color rgb="FF1B3A5C"/>
        <rFont val="Arial"/>
        <family val="2"/>
      </rPr>
      <t xml:space="preserve">Myokarditer · s. 15 · Socialstyrelsens mål: STc8, STc10
</t>
    </r>
    <r>
      <rPr>
        <sz val="9"/>
        <color rgb="FF000000"/>
        <rFont val="Arial"/>
        <family val="2"/>
      </rPr>
      <t>• Behandling av myokardit och dess komplikationer.</t>
    </r>
  </si>
  <si>
    <t>Behandling vid akut och kronisk perikardit</t>
  </si>
  <si>
    <t>Ordagrant</t>
  </si>
  <si>
    <r>
      <rPr>
        <b/>
        <sz val="9"/>
        <color rgb="FF1B3A5C"/>
        <rFont val="Arial"/>
        <family val="2"/>
      </rPr>
      <t xml:space="preserve">Perikardsjukdom · s. 14 · Socialstyrelsens mål: STc8, STc10
</t>
    </r>
    <r>
      <rPr>
        <sz val="9"/>
        <color rgb="FF000000"/>
        <rFont val="Arial"/>
        <family val="2"/>
      </rPr>
      <t>• Epidemiologi, patofysiologi, symtom, differentialdiagnoser, undersökningsmetoder, behandlingsprinciper, komplikationer och prognos vid akut samt kronisk perikardit</t>
    </r>
  </si>
  <si>
    <t>Initial handläggning och medicinsk behandling vid akut aortasyndrom</t>
  </si>
  <si>
    <t>Ordagrant</t>
  </si>
  <si>
    <r>
      <rPr>
        <b/>
        <sz val="9"/>
        <color rgb="FF1B3A5C"/>
        <rFont val="Arial"/>
        <family val="2"/>
      </rPr>
      <t xml:space="preserve">Aortasjukdomar · s. 13 · Socialstyrelsens mål: STc6, STc11
</t>
    </r>
    <r>
      <rPr>
        <sz val="9"/>
        <color rgb="FF000000"/>
        <rFont val="Arial"/>
        <family val="2"/>
      </rPr>
      <t>• Medicinsk handläggning och kunskap om kirurgisk behandling vid thorakala aortasjukdomar.
• Akut omhändertagande av patient med akut aortasyndrom.</t>
    </r>
  </si>
  <si>
    <t>Läkemedelsbehandling vid graviditet/amning (inkl. antikoagulation vid klaffprotes)</t>
  </si>
  <si>
    <t>Ordagrant</t>
  </si>
  <si>
    <r>
      <rPr>
        <b/>
        <sz val="9"/>
        <color rgb="FF1B3A5C"/>
        <rFont val="Arial"/>
        <family val="2"/>
      </rPr>
      <t xml:space="preserve">Graviditet och hjärtsjukdom · s. 17 · Socialstyrelsens mål: STc10
</t>
    </r>
    <r>
      <rPr>
        <sz val="9"/>
        <color rgb="FF000000"/>
        <rFont val="Arial"/>
        <family val="2"/>
      </rPr>
      <t>• Hjärtkärlläkemedel under graviditet och amning inklusive handläggning av antikoagulation vid klaffprotes.</t>
    </r>
  </si>
  <si>
    <t>Handlägga och behandla komplikationer till AKS (arytmier, hjärtsvikt, kardiogen chock, mekaniska komplikationer)</t>
  </si>
  <si>
    <t>Ordagrant</t>
  </si>
  <si>
    <r>
      <rPr>
        <b/>
        <sz val="9"/>
        <color rgb="FF1B3A5C"/>
        <rFont val="Arial"/>
        <family val="2"/>
      </rPr>
      <t xml:space="preserve">Akut koronart syndrom (AKS) · s. 9 · Socialstyrelsens mål: STc7
</t>
    </r>
    <r>
      <rPr>
        <sz val="9"/>
        <color rgb="FF000000"/>
        <rFont val="Arial"/>
        <family val="2"/>
      </rPr>
      <t>• Komplikationer till AKS såsom arytmier, akut hjärtsvikt, hemodynamisk instabilitet, kardiogen chock, och akuta mekaniska komplikationer (klaffinsufficienser, VSD och hjärttamponad).</t>
    </r>
  </si>
  <si>
    <t>Handlägga och behandla av komplikationer till invasiva ingrepp (PCI, CABG, andra thoraxkirurgiska komplikationer)</t>
  </si>
  <si>
    <t>Ordagrant</t>
  </si>
  <si>
    <r>
      <rPr>
        <b/>
        <sz val="9"/>
        <color rgb="FF1B3A5C"/>
        <rFont val="Arial"/>
        <family val="2"/>
      </rPr>
      <t xml:space="preserve">Akut koronart syndrom (AKS) · s. 9 · Socialstyrelsens mål: STc7
</t>
    </r>
    <r>
      <rPr>
        <sz val="9"/>
        <color rgb="FF000000"/>
        <rFont val="Arial"/>
        <family val="2"/>
      </rPr>
      <t xml:space="preserve">• Identifiera och initialt handlägga komplikationer vid hjärtkirurgi.
• Handläggning av komplikationer till invasiva ingrepp.
</t>
    </r>
    <r>
      <rPr>
        <b/>
        <sz val="9"/>
        <color rgb="FF1B3A5C"/>
        <rFont val="Arial"/>
        <family val="2"/>
      </rPr>
      <t xml:space="preserve">
Kronisk koronart syndrom (stabil kranskärlssjukdom) · s. 9 · Socialstyrelsens mål: STc7
</t>
    </r>
    <r>
      <rPr>
        <sz val="9"/>
        <color rgb="FF000000"/>
        <rFont val="Arial"/>
        <family val="2"/>
      </rPr>
      <t xml:space="preserve">• Handläggning av komplikationer till invasiva ingrepp.
</t>
    </r>
    <r>
      <rPr>
        <b/>
        <sz val="9"/>
        <color rgb="FF1B3A5C"/>
        <rFont val="Arial"/>
        <family val="2"/>
      </rPr>
      <t xml:space="preserve">
Kardiologisk rehabilitering · s. 18 · Socialstyrelsens mål: STc12, STc13
</t>
    </r>
    <r>
      <rPr>
        <sz val="9"/>
        <color rgb="FF000000"/>
        <rFont val="Arial"/>
        <family val="2"/>
      </rPr>
      <t>• Komplikationer efter genomgången hjärt-/thoraxkirurgi.</t>
    </r>
  </si>
  <si>
    <t>Förebygga och behandla misstänkt kontrastinducerad nefropati</t>
  </si>
  <si>
    <t>Ordagrant</t>
  </si>
  <si>
    <r>
      <rPr>
        <b/>
        <sz val="9"/>
        <color rgb="FF1B3A5C"/>
        <rFont val="Arial"/>
        <family val="2"/>
      </rPr>
      <t xml:space="preserve">Invasiv bild- och funktionsdiagnostik · s. 20 · Socialstyrelsens mål: STc7, STc8
</t>
    </r>
    <r>
      <rPr>
        <sz val="9"/>
        <color rgb="FF000000"/>
        <rFont val="Arial"/>
        <family val="2"/>
      </rPr>
      <t xml:space="preserve">• Risker med kontrastanvändning och förebyggande behandling av kontrastinducerad nefropati.
</t>
    </r>
    <r>
      <rPr>
        <b/>
        <sz val="9"/>
        <color rgb="FF1B3A5C"/>
        <rFont val="Arial"/>
        <family val="2"/>
      </rPr>
      <t xml:space="preserve">
Noninvasiv bild- och funktionsdiagnostik › Allmänt · s. 20 · Socialstyrelsens mål: STc7
</t>
    </r>
    <r>
      <rPr>
        <sz val="9"/>
        <color rgb="FF000000"/>
        <rFont val="Arial"/>
        <family val="2"/>
      </rPr>
      <t>• Risker med kontrastanvändning samt prevention och behandling av kontrastinducerad nefropati.</t>
    </r>
  </si>
  <si>
    <t>Handlägga behandla akuta komplikationer vid myokardit och perikardsjukdom, inklusive hjärttamponad.</t>
  </si>
  <si>
    <t>Ordagrant</t>
  </si>
  <si>
    <r>
      <rPr>
        <b/>
        <sz val="9"/>
        <color rgb="FF1B3A5C"/>
        <rFont val="Arial"/>
        <family val="2"/>
      </rPr>
      <t xml:space="preserve">Myokarditer · s. 15 · Socialstyrelsens mål: STc8, STc10
</t>
    </r>
    <r>
      <rPr>
        <sz val="9"/>
        <color rgb="FF000000"/>
        <rFont val="Arial"/>
        <family val="2"/>
      </rPr>
      <t xml:space="preserve">• Behandling av myokardit och dess komplikationer.
</t>
    </r>
    <r>
      <rPr>
        <b/>
        <sz val="9"/>
        <color rgb="FF1B3A5C"/>
        <rFont val="Arial"/>
        <family val="2"/>
      </rPr>
      <t xml:space="preserve">
Perikardsjukdom · s. 14 · Socialstyrelsens mål: STc8, STc10
</t>
    </r>
    <r>
      <rPr>
        <sz val="9"/>
        <color rgb="FF000000"/>
        <rFont val="Arial"/>
        <family val="2"/>
      </rPr>
      <t>• Handläggning av hotande och manifest hjärttamponad samt grundläggande praktisk kunskap för utförandet av urakut perikardiocentes.</t>
    </r>
  </si>
  <si>
    <t>Strukturerad uppföljningsplan och långsiktig behandling efter AKS och KKS: innehåll, målvärden, remissflöden</t>
  </si>
  <si>
    <t>Bygger på SvKF</t>
  </si>
  <si>
    <r>
      <rPr>
        <b/>
        <sz val="9"/>
        <color rgb="FF1B3A5C"/>
        <rFont val="Arial"/>
        <family val="2"/>
      </rPr>
      <t xml:space="preserve">Akut koronart syndrom (AKS) · s. 9 · Socialstyrelsens mål: STc7
</t>
    </r>
    <r>
      <rPr>
        <sz val="9"/>
        <color rgb="FF000000"/>
        <rFont val="Arial"/>
        <family val="2"/>
      </rPr>
      <t xml:space="preserve">• Uppföljning och långsiktig behandling efter AKS.
</t>
    </r>
    <r>
      <rPr>
        <b/>
        <sz val="9"/>
        <color rgb="FF1B3A5C"/>
        <rFont val="Arial"/>
        <family val="2"/>
      </rPr>
      <t xml:space="preserve">
Kronisk koronart syndrom (stabil kranskärlssjukdom) · s. 9 · Socialstyrelsens mål: STc7
</t>
    </r>
    <r>
      <rPr>
        <sz val="9"/>
        <color rgb="FF000000"/>
        <rFont val="Arial"/>
        <family val="2"/>
      </rPr>
      <t>• Behandling vid kronisk kranskärlssjukdom, både farmakologisk och icke-farmakologisk.</t>
    </r>
  </si>
  <si>
    <t>Prognosbedömning efter AKS: LVEF, residualsymtom, återinsjuknande, SCD-risk (primärprevention med ICD)</t>
  </si>
  <si>
    <t>Bygger på SvKF</t>
  </si>
  <si>
    <r>
      <rPr>
        <b/>
        <sz val="9"/>
        <color rgb="FF1B3A5C"/>
        <rFont val="Arial"/>
        <family val="2"/>
      </rPr>
      <t xml:space="preserve">Akut koronart syndrom (AKS) · s. 9 · Socialstyrelsens mål: STc7
</t>
    </r>
    <r>
      <rPr>
        <sz val="9"/>
        <color rgb="FF000000"/>
        <rFont val="Arial"/>
        <family val="2"/>
      </rPr>
      <t xml:space="preserve">• Uppföljning och långsiktig behandling efter AKS.
</t>
    </r>
    <r>
      <rPr>
        <b/>
        <sz val="9"/>
        <color rgb="FF1B3A5C"/>
        <rFont val="Arial"/>
        <family val="2"/>
      </rPr>
      <t xml:space="preserve">
Arytmier och synkope › Takykardier · s. 11 · Socialstyrelsens mål: STc6, STc9
</t>
    </r>
    <r>
      <rPr>
        <sz val="9"/>
        <color rgb="FF000000"/>
        <rFont val="Arial"/>
        <family val="2"/>
      </rPr>
      <t>• Indikationer och komplikationer vid ICD-behandling samt genomföra avläsning med programmerare.</t>
    </r>
  </si>
  <si>
    <t>Sekundärpreventiva läkemedel efter hjärtinfarkt — DAPT-duration, ACE-/ARB/ARNI, betablockad, MRA, statiner, SGLT2i/GLP-1RA vid DM/hjärtsvikt</t>
  </si>
  <si>
    <t>Bygger på SvKF</t>
  </si>
  <si>
    <r>
      <rPr>
        <b/>
        <sz val="9"/>
        <color rgb="FF1B3A5C"/>
        <rFont val="Arial"/>
        <family val="2"/>
      </rPr>
      <t xml:space="preserve">Akut koronart syndrom (AKS) · s. 9 · Socialstyrelsens mål: STc7
</t>
    </r>
    <r>
      <rPr>
        <sz val="9"/>
        <color rgb="FF000000"/>
        <rFont val="Arial"/>
        <family val="2"/>
      </rPr>
      <t xml:space="preserve">• Uppföljning och långsiktig behandling efter AKS.
</t>
    </r>
    <r>
      <rPr>
        <b/>
        <sz val="9"/>
        <color rgb="FF1B3A5C"/>
        <rFont val="Arial"/>
        <family val="2"/>
      </rPr>
      <t xml:space="preserve">
Klinisk farmakologi · s. 19 · Socialstyrelsens mål: ingår i de flesta c-målen
</t>
    </r>
    <r>
      <rPr>
        <sz val="9"/>
        <color rgb="FF000000"/>
        <rFont val="Arial"/>
        <family val="2"/>
      </rPr>
      <t>• Indikationer/kontraindikationer, farmakokinetik, verkningsmekanismer, vanliga och/eller allvarliga interaktioner, biverkningar och toxiska effekter för kardiovaskulära läkemedel, med fokus på följande grupper:
    – Trombocythämmare.
    – Beta- och alfareceptorblockad.
    – Natriumglukostransportör 2 (SGLT2) hämmare.
    – RAAS- och neprilysin-hämmare.
    – Lipidsänkare.</t>
    </r>
  </si>
  <si>
    <t>Läkemedelsexemplen är tillagda.</t>
  </si>
  <si>
    <t>Sekundärpreventiva teambaserade insatser och rehabiliteringsprogram efter hjärtinfarkt, PCI och hjärtkirurgi.</t>
  </si>
  <si>
    <t>Ordagrant</t>
  </si>
  <si>
    <r>
      <rPr>
        <b/>
        <sz val="9"/>
        <color rgb="FF1B3A5C"/>
        <rFont val="Arial"/>
        <family val="2"/>
      </rPr>
      <t xml:space="preserve">Kardiologisk rehabilitering · s. 18 · Socialstyrelsens mål: STc12, STc13
</t>
    </r>
    <r>
      <rPr>
        <sz val="9"/>
        <color rgb="FF000000"/>
        <rFont val="Arial"/>
        <family val="2"/>
      </rPr>
      <t>• Sekundärpreventiva teambaserade insatser och rehabiliteringsprogram efter hjärtinfarkt, PCI och hjärtkirurgi.</t>
    </r>
  </si>
  <si>
    <t>Sjukskrivning, ge arbetsanpassning vid hjärtsjukdom, och ge råd enligt trafikföreskrifter</t>
  </si>
  <si>
    <t>Ordagrant</t>
  </si>
  <si>
    <r>
      <rPr>
        <b/>
        <sz val="9"/>
        <color rgb="FF1B3A5C"/>
        <rFont val="Arial"/>
        <family val="2"/>
      </rPr>
      <t xml:space="preserve">Kardiologisk rehabilitering · s. 18 · Socialstyrelsens mål: STc12, STc13
</t>
    </r>
    <r>
      <rPr>
        <sz val="9"/>
        <color rgb="FF000000"/>
        <rFont val="Arial"/>
        <family val="2"/>
      </rPr>
      <t>• Sjukskrivning och arbetsanpassning vid hjärtsjukdom.
• Trafikföreskrifter vid hjärtsjukdom.</t>
    </r>
  </si>
  <si>
    <t>Familjescreening vid tidig AKS (&lt;55 år män, &lt;65 år kvinnor): lipider, hypertoni, familjär hyperkolesterolemi (FH) med DLCN-kriterier</t>
  </si>
  <si>
    <t>Bygger på SvKF</t>
  </si>
  <si>
    <r>
      <rPr>
        <b/>
        <sz val="9"/>
        <color rgb="FF1B3A5C"/>
        <rFont val="Arial"/>
        <family val="2"/>
      </rPr>
      <t xml:space="preserve">Genetik vid hjärtsjukdom · s. 16–17 · Socialstyrelsens mål: STc10
</t>
    </r>
    <r>
      <rPr>
        <sz val="9"/>
        <color rgb="FF000000"/>
        <rFont val="Arial"/>
        <family val="2"/>
      </rPr>
      <t>• Klassifikation, epidemiologi, patofysiologi, symtom, differentialdiagnoser, undersökningsmetoder, behandling och prognos för ärftliga kardiovaskulära sjukdomar med särskilt fokus på kardiomyopatier, arytmier, aortopatier och dyslipidemier. Exempelvis:
    – Familjär hyperkolesterolemi.
• Identifiera och ge basal vägledning till familjemedlemmar som löper risk att vara bärare av kardiovaskulära sjukdomsanlag samt screening med medvetenhet om de speciella etiska problem genetiska sjukdomar kan medföra.</t>
    </r>
  </si>
  <si>
    <t>Åldersgränser och DLCN-kriterier är tillagda.</t>
  </si>
  <si>
    <t>Bedöma betydelsen av hjärtsjukdom för val av preventivmetod</t>
  </si>
  <si>
    <t>Ordagrant</t>
  </si>
  <si>
    <r>
      <rPr>
        <b/>
        <sz val="9"/>
        <color rgb="FF1B3A5C"/>
        <rFont val="Arial"/>
        <family val="2"/>
      </rPr>
      <t xml:space="preserve">Graviditet och hjärtsjukdom · s. 17 · Socialstyrelsens mål: STc10
</t>
    </r>
    <r>
      <rPr>
        <sz val="9"/>
        <color rgb="FF000000"/>
        <rFont val="Arial"/>
        <family val="2"/>
      </rPr>
      <t>• Betydelsen av hjärtsjukdom för val av preventivmedelsmetod.</t>
    </r>
  </si>
  <si>
    <t>Koagulationsfysiologi och vanliga koagulationsrubbningar.</t>
  </si>
  <si>
    <t>Egen formulering</t>
  </si>
  <si>
    <r>
      <rPr>
        <i/>
        <sz val="9"/>
        <color rgb="FF595959"/>
        <rFont val="Arial"/>
        <family val="2"/>
      </rPr>
      <t xml:space="preserve">Närliggande i SvKF 2022:
</t>
    </r>
    <r>
      <rPr>
        <b/>
        <sz val="9"/>
        <color rgb="FF1B3A5C"/>
        <rFont val="Arial"/>
        <family val="2"/>
      </rPr>
      <t xml:space="preserve">Venös tromboembolism · s. 13 · Socialstyrelsens mål: STc6
</t>
    </r>
    <r>
      <rPr>
        <sz val="9"/>
        <color rgb="FF000000"/>
        <rFont val="Arial"/>
        <family val="2"/>
      </rPr>
      <t xml:space="preserve">• Epidemiologi, riskfaktorer, patofysiologi, symtomatologi, diagnostik, behandling och prevention av venös tromboembolism, inklusive akut tromboflebit, djup ventrombos, akut lungemboli och kronisk tromboembolisk pulmonell hypertension.
</t>
    </r>
    <r>
      <rPr>
        <b/>
        <sz val="9"/>
        <color rgb="FF1B3A5C"/>
        <rFont val="Arial"/>
        <family val="2"/>
      </rPr>
      <t xml:space="preserve">
Klinisk farmakologi · s. 19 · Socialstyrelsens mål: ingår i de flesta c-målen
</t>
    </r>
    <r>
      <rPr>
        <sz val="9"/>
        <color rgb="FF000000"/>
        <rFont val="Arial"/>
        <family val="2"/>
      </rPr>
      <t>• Indikationer/kontraindikationer, farmakokinetik, verkningsmekanismer, vanliga och/eller allvarliga interaktioner, biverkningar och toxiska effekter för kardiovaskulära läkemedel, med fokus på följande grupper:
    – Antikoagulantia.</t>
    </r>
  </si>
  <si>
    <t>Koagulationsfysiologi finns inte i SvKF 2022.</t>
  </si>
  <si>
    <t>Farmakologi för antitrombotiska läkemedel (ASA, P2Y12-hämmare, DOAK, warfarin, heparin).</t>
  </si>
  <si>
    <t>Bygger på SvKF</t>
  </si>
  <si>
    <r>
      <rPr>
        <b/>
        <sz val="9"/>
        <color rgb="FF1B3A5C"/>
        <rFont val="Arial"/>
        <family val="2"/>
      </rPr>
      <t xml:space="preserve">Klinisk farmakologi · s. 19 · Socialstyrelsens mål: ingår i de flesta c-målen
</t>
    </r>
    <r>
      <rPr>
        <sz val="9"/>
        <color rgb="FF000000"/>
        <rFont val="Arial"/>
        <family val="2"/>
      </rPr>
      <t>• Indikationer/kontraindikationer, farmakokinetik, verkningsmekanismer, vanliga och/eller allvarliga interaktioner, biverkningar och toxiska effekter för kardiovaskulära läkemedel, med fokus på följande grupper:
    – Antikoagulantia.
    – Trombocythämmare.</t>
    </r>
  </si>
  <si>
    <t>Handlägga blödning och reversering av antikoagulantia.</t>
  </si>
  <si>
    <t>Egen formulering</t>
  </si>
  <si>
    <r>
      <rPr>
        <i/>
        <sz val="9"/>
        <color rgb="FF595959"/>
        <rFont val="Arial"/>
        <family val="2"/>
      </rPr>
      <t xml:space="preserve">Närliggande i SvKF 2022:
</t>
    </r>
    <r>
      <rPr>
        <b/>
        <sz val="9"/>
        <color rgb="FF1B3A5C"/>
        <rFont val="Arial"/>
        <family val="2"/>
      </rPr>
      <t xml:space="preserve">Klinisk farmakologi · s. 19 · Socialstyrelsens mål: ingår i de flesta c-målen
</t>
    </r>
    <r>
      <rPr>
        <sz val="9"/>
        <color rgb="FF000000"/>
        <rFont val="Arial"/>
        <family val="2"/>
      </rPr>
      <t>• Indikationer/kontraindikationer, farmakokinetik, verkningsmekanismer, vanliga och/eller allvarliga interaktioner, biverkningar och toxiska effekter för kardiovaskulära läkemedel, med fokus på följande grupper:
    – Antikoagulantia.</t>
    </r>
  </si>
  <si>
    <t>Reversering av antikoagulantia finns inte som eget delmål i SvKF 2022.</t>
  </si>
  <si>
    <t>Indikationer för och tolkning av koagulationsprover.</t>
  </si>
  <si>
    <t>Egen formulering</t>
  </si>
  <si>
    <r>
      <rPr>
        <i/>
        <sz val="9"/>
        <color rgb="FF595959"/>
        <rFont val="Arial"/>
        <family val="2"/>
      </rPr>
      <t xml:space="preserve">Närliggande i SvKF 2022:
</t>
    </r>
    <r>
      <rPr>
        <b/>
        <sz val="9"/>
        <color rgb="FF1B3A5C"/>
        <rFont val="Arial"/>
        <family val="2"/>
      </rPr>
      <t xml:space="preserve">Klinisk farmakologi · s. 19 · Socialstyrelsens mål: ingår i de flesta c-målen
</t>
    </r>
    <r>
      <rPr>
        <sz val="9"/>
        <color rgb="FF000000"/>
        <rFont val="Arial"/>
        <family val="2"/>
      </rPr>
      <t>• Indikationer/kontraindikationer, farmakokinetik, verkningsmekanismer, vanliga och/eller allvarliga interaktioner, biverkningar och toxiska effekter för kardiovaskulära läkemedel, med fokus på följande grupper:
    – Antikoagulantia.</t>
    </r>
  </si>
  <si>
    <t>Koagulationsprover nämns inte i SvKF 2022.</t>
  </si>
  <si>
    <t>ISCHEMI  –  praktiska färdigheter (5 st: 4 ordagrant · 1 bygger på SvKF)</t>
  </si>
  <si>
    <t>HIA-larminskolning</t>
  </si>
  <si>
    <t>Bygger på SvKF</t>
  </si>
  <si>
    <r>
      <rPr>
        <b/>
        <sz val="9"/>
        <color rgb="FF1B3A5C"/>
        <rFont val="Arial"/>
        <family val="2"/>
      </rPr>
      <t xml:space="preserve">Plan för genomförande av specialistutbildningen · s. 5
</t>
    </r>
    <r>
      <rPr>
        <sz val="9"/>
        <color rgb="FF000000"/>
        <rFont val="Arial"/>
        <family val="2"/>
      </rPr>
      <t xml:space="preserve">• ST-läkaren ska under utbildningstiden utföra kardiologisk jourtjänstgöring i adekvat omfattning, med självständigt ansvar för hjärtintensivvårdsavdelning (motsvarande minst 50 nätter).
</t>
    </r>
    <r>
      <rPr>
        <b/>
        <sz val="9"/>
        <color rgb="FF1B3A5C"/>
        <rFont val="Arial"/>
        <family val="2"/>
      </rPr>
      <t xml:space="preserve">
Akut omhändertagande av livshotande kardiologiska tillstånd · s. 8 · Socialstyrelsens mål: STc6
</t>
    </r>
    <r>
      <rPr>
        <sz val="9"/>
        <color rgb="FF000000"/>
        <rFont val="Arial"/>
        <family val="2"/>
      </rPr>
      <t>• Omhändertagande vid cirkulationsstillestånd och initiering respektive avbrytande av behandling.
• Bedömning av adekvat vårdnivå för patienter.
• Prehospitalt omhändertagande vid akut hjärtsjukdom och telekardiologisk assistans till ambulanspersonal.
• Handläggning av patient i samband med akut koronarangiografi och primär PCI.</t>
    </r>
  </si>
  <si>
    <t>Inskolningens upplägg (3 veckor) är lokalt.</t>
  </si>
  <si>
    <t>Assistera vid angiografier och tolka bilder</t>
  </si>
  <si>
    <t>Ordagrant</t>
  </si>
  <si>
    <r>
      <rPr>
        <b/>
        <sz val="9"/>
        <color rgb="FF1B3A5C"/>
        <rFont val="Arial"/>
        <family val="2"/>
      </rPr>
      <t xml:space="preserve">Invasiv bild- och funktionsdiagnostik · s. 20–21 · Socialstyrelsens mål: STc7, STc8
</t>
    </r>
    <r>
      <rPr>
        <sz val="9"/>
        <color rgb="FF000000"/>
        <rFont val="Arial"/>
        <family val="2"/>
      </rPr>
      <t xml:space="preserve">• Tolka data från högerkammarkateterisering och koronarangiografi.
• Delaktighet vid genomförandet av, och assisterande vid koronarangiografi samt högerkammarkateterisering.
</t>
    </r>
    <r>
      <rPr>
        <b/>
        <sz val="9"/>
        <color rgb="FF1B3A5C"/>
        <rFont val="Arial"/>
        <family val="2"/>
      </rPr>
      <t xml:space="preserve">
Rekommendationslista – kompetensnivåer för färdigheter · s. 23
</t>
    </r>
    <r>
      <rPr>
        <sz val="9"/>
        <color rgb="FF000000"/>
        <rFont val="Arial"/>
        <family val="2"/>
      </rPr>
      <t xml:space="preserve">• Koronarangiografi, delaktighet vid genomförande — nivå Sverige: 2, ESC: 2
• Koronarangiografi, tolkning — nivå Sverige: 3, ESC: 3
</t>
    </r>
    <r>
      <rPr>
        <b/>
        <sz val="9"/>
        <color rgb="FF1B3A5C"/>
        <rFont val="Arial"/>
        <family val="2"/>
      </rPr>
      <t xml:space="preserve">
Plan för genomförande av specialistutbildningen · s. 5
</t>
    </r>
    <r>
      <rPr>
        <sz val="9"/>
        <color rgb="FF000000"/>
        <rFont val="Arial"/>
        <family val="2"/>
      </rPr>
      <t>• För att uppfylla målen rekommenderar Svenska Kardiologföreningen att man tjänstgör vid enhet vars verksamhet innefattar:
    – HIA eller motsvarande enhet ≥ 12 månader. Denna tjänstgöring bör inkludera minst:
        – PCI-lab ≥ 2 veckor.</t>
    </r>
  </si>
  <si>
    <t>Utföra/assistera vid arteriell access (artärnål, radialisstick på angiolab)</t>
  </si>
  <si>
    <t>Ordagrant</t>
  </si>
  <si>
    <r>
      <rPr>
        <b/>
        <sz val="9"/>
        <color rgb="FF1B3A5C"/>
        <rFont val="Arial"/>
        <family val="2"/>
      </rPr>
      <t xml:space="preserve">Invasiv bild- och funktionsdiagnostik · s. 21 · Socialstyrelsens mål: STc7, STc8
</t>
    </r>
    <r>
      <rPr>
        <sz val="9"/>
        <color rgb="FF000000"/>
        <rFont val="Arial"/>
        <family val="2"/>
      </rPr>
      <t xml:space="preserve">• Utföra/assistera vid anläggande av arteriell access.
</t>
    </r>
    <r>
      <rPr>
        <b/>
        <sz val="9"/>
        <color rgb="FF1B3A5C"/>
        <rFont val="Arial"/>
        <family val="2"/>
      </rPr>
      <t xml:space="preserve">
Rekommendationslista – kompetensnivåer för färdigheter · s. 23
</t>
    </r>
    <r>
      <rPr>
        <sz val="9"/>
        <color rgb="FF000000"/>
        <rFont val="Arial"/>
        <family val="2"/>
      </rPr>
      <t>• Perifer arteriell och central venös access — nivå Sverige: 3, ESC: N/A</t>
    </r>
  </si>
  <si>
    <t>Hemostas efter kateterisering (TR band, femostop)</t>
  </si>
  <si>
    <t>Ordagrant</t>
  </si>
  <si>
    <r>
      <rPr>
        <b/>
        <sz val="9"/>
        <color rgb="FF1B3A5C"/>
        <rFont val="Arial"/>
        <family val="2"/>
      </rPr>
      <t xml:space="preserve">Invasiv bild- och funktionsdiagnostik · s. 21 · Socialstyrelsens mål: STc7, STc8
</t>
    </r>
    <r>
      <rPr>
        <sz val="9"/>
        <color rgb="FF000000"/>
        <rFont val="Arial"/>
        <family val="2"/>
      </rPr>
      <t xml:space="preserve">• Hemostas efter kateterisering.
</t>
    </r>
    <r>
      <rPr>
        <b/>
        <sz val="9"/>
        <color rgb="FF1B3A5C"/>
        <rFont val="Arial"/>
        <family val="2"/>
      </rPr>
      <t xml:space="preserve">
Rekommendationslista – kompetensnivåer för färdigheter · s. 23
</t>
    </r>
    <r>
      <rPr>
        <sz val="9"/>
        <color rgb="FF000000"/>
        <rFont val="Arial"/>
        <family val="2"/>
      </rPr>
      <t>• Hantering av TR-band, femostop — nivå Sverige: 5, ESC: N/A</t>
    </r>
  </si>
  <si>
    <t>Ischemiövervakning</t>
  </si>
  <si>
    <t>Ordagrant</t>
  </si>
  <si>
    <r>
      <rPr>
        <b/>
        <sz val="9"/>
        <color rgb="FF1B3A5C"/>
        <rFont val="Arial"/>
        <family val="2"/>
      </rPr>
      <t xml:space="preserve">Akut omhändertagande av livshotande kardiologiska tillstånd · s. 8 · Socialstyrelsens mål: STc6
</t>
    </r>
    <r>
      <rPr>
        <sz val="9"/>
        <color rgb="FF000000"/>
        <rFont val="Arial"/>
        <family val="2"/>
      </rPr>
      <t xml:space="preserve">• Ischemisk och hemodynamisk monitorering.
</t>
    </r>
    <r>
      <rPr>
        <b/>
        <sz val="9"/>
        <color rgb="FF1B3A5C"/>
        <rFont val="Arial"/>
        <family val="2"/>
      </rPr>
      <t xml:space="preserve">
Rekommendationslista – kompetensnivåer för färdigheter · s. 23
</t>
    </r>
    <r>
      <rPr>
        <sz val="9"/>
        <color rgb="FF000000"/>
        <rFont val="Arial"/>
        <family val="2"/>
      </rPr>
      <t>• Ischemisk monitorering — nivå Sverige: 5, ESC: N/A</t>
    </r>
  </si>
  <si>
    <t>HIA  –  lärandemål (31 st: 7 ordagrant · 23 bygger på SvKF · 1 egen formulering)</t>
  </si>
  <si>
    <t>AKS och kardiogen chock: patofysiologi och klassfikation (inkl SCAI klassifikation)</t>
  </si>
  <si>
    <t>Bygger på SvKF</t>
  </si>
  <si>
    <r>
      <rPr>
        <b/>
        <sz val="9"/>
        <color rgb="FF1B3A5C"/>
        <rFont val="Arial"/>
        <family val="2"/>
      </rPr>
      <t xml:space="preserve">Akut omhändertagande av livshotande kardiologiska tillstånd · s. 8 · Socialstyrelsens mål: STc6
</t>
    </r>
    <r>
      <rPr>
        <sz val="9"/>
        <color rgb="FF000000"/>
        <rFont val="Arial"/>
        <family val="2"/>
      </rPr>
      <t>• Klassifikation, epidemiologi, orsaker, patofysiologi, klinisk bild, differentialdiagnoser, diagnostik, behandling och prognos vid hjärtstillestånd, akuta hjärtsjukdomar och mekaniska komplikationer.
• Diagnostik och handläggning av patient med hemodynamisk instabilitet/chock.</t>
    </r>
  </si>
  <si>
    <t>SCAI-klassifikationen är tillagd.</t>
  </si>
  <si>
    <t>Arytmier: patofysiologi och klassifikation vid akuta taky- och bradyarytmier med hemodynamisk påverkan</t>
  </si>
  <si>
    <t>Bygger på SvKF</t>
  </si>
  <si>
    <r>
      <rPr>
        <b/>
        <sz val="9"/>
        <color rgb="FF1B3A5C"/>
        <rFont val="Arial"/>
        <family val="2"/>
      </rPr>
      <t xml:space="preserve">Akut omhändertagande av livshotande kardiologiska tillstånd · s. 8 · Socialstyrelsens mål: STc6
</t>
    </r>
    <r>
      <rPr>
        <sz val="9"/>
        <color rgb="FF000000"/>
        <rFont val="Arial"/>
        <family val="2"/>
      </rPr>
      <t xml:space="preserve">• Klassifikation, epidemiologi, orsaker, patofysiologi, klinisk bild, differentialdiagnoser, diagnostik, behandling och prognos vid hjärtstillestånd, akuta hjärtsjukdomar och mekaniska komplikationer.
</t>
    </r>
    <r>
      <rPr>
        <b/>
        <sz val="9"/>
        <color rgb="FF1B3A5C"/>
        <rFont val="Arial"/>
        <family val="2"/>
      </rPr>
      <t xml:space="preserve">
Arytmier och synkope · s. 11 · Socialstyrelsens mål: STc6, STc9
</t>
    </r>
    <r>
      <rPr>
        <sz val="9"/>
        <color rgb="FF000000"/>
        <rFont val="Arial"/>
        <family val="2"/>
      </rPr>
      <t>• Klassifikation, epidemiologi, orsaker, patofysiologi, klinisk bild, differentialdiagnoser, diagnostik, behandling och prognos vid supraventrikulära och ventrikulära takyarytmier, bradykardier samt synkope.</t>
    </r>
  </si>
  <si>
    <t>Akut hjärtsvikt och lungödem: patofysiologi, kardiogen vs icke-kardiogen, triggermekanismer, hemodynamiska profiler (warm/cold, wet/dry)</t>
  </si>
  <si>
    <t>Bygger på SvKF</t>
  </si>
  <si>
    <r>
      <rPr>
        <b/>
        <sz val="9"/>
        <color rgb="FF1B3A5C"/>
        <rFont val="Arial"/>
        <family val="2"/>
      </rPr>
      <t xml:space="preserve">Hjärtsvikt, kardiomyopatier och pulmonell hypertension · s. 10 · Socialstyrelsens mål: STc8
</t>
    </r>
    <r>
      <rPr>
        <sz val="9"/>
        <color rgb="FF000000"/>
        <rFont val="Arial"/>
        <family val="2"/>
      </rPr>
      <t>• Bedömning av hemodynamiskt status, symtom och differentialdiagnoser vid hjärtsvikt.
• Handläggning av akut hjärtsvikt och lungödem inklusive noninvasiv ventilation.
• Definition, klassifikation, epidemiologi, riskfaktorer, etiologier, patofysiologi och prognos vid akut hjärtsvikt och kronisk hjärtsvikt i relation till grad av kammardysfunktion.</t>
    </r>
  </si>
  <si>
    <t>Perimyokardit: patofysiologi, inkl fulminant myokardit med chock</t>
  </si>
  <si>
    <t>Bygger på SvKF</t>
  </si>
  <si>
    <r>
      <rPr>
        <b/>
        <sz val="9"/>
        <color rgb="FF1B3A5C"/>
        <rFont val="Arial"/>
        <family val="2"/>
      </rPr>
      <t xml:space="preserve">Akut omhändertagande av livshotande kardiologiska tillstånd · s. 8 · Socialstyrelsens mål: STc6
</t>
    </r>
    <r>
      <rPr>
        <sz val="9"/>
        <color rgb="FF000000"/>
        <rFont val="Arial"/>
        <family val="2"/>
      </rPr>
      <t xml:space="preserve">• Klassifikation, epidemiologi, orsaker, patofysiologi, klinisk bild, differentialdiagnoser, diagnostik, behandling och prognos vid hjärtstillestånd, akuta hjärtsjukdomar och mekaniska komplikationer.
</t>
    </r>
    <r>
      <rPr>
        <b/>
        <sz val="9"/>
        <color rgb="FF1B3A5C"/>
        <rFont val="Arial"/>
        <family val="2"/>
      </rPr>
      <t xml:space="preserve">
Myokarditer · s. 15 · Socialstyrelsens mål: STc8, STc10
</t>
    </r>
    <r>
      <rPr>
        <sz val="9"/>
        <color rgb="FF000000"/>
        <rFont val="Arial"/>
        <family val="2"/>
      </rPr>
      <t>• Definition, orsaker, kliniska tecken, symtom, patologi, utredning, prognos och diagnostiska kriterier för infektiös och icke-infektiös myokardit.
• Behandling av myokardit och dess komplikationer.</t>
    </r>
  </si>
  <si>
    <t>Mekaniska komplikationer vid AKS: patofysiologi vid akuta klaffinsufficiens, VSD, väggruptur</t>
  </si>
  <si>
    <t>Ordagrant</t>
  </si>
  <si>
    <r>
      <rPr>
        <b/>
        <sz val="9"/>
        <color rgb="FF1B3A5C"/>
        <rFont val="Arial"/>
        <family val="2"/>
      </rPr>
      <t xml:space="preserve">Akut omhändertagande av livshotande kardiologiska tillstånd · s. 8 · Socialstyrelsens mål: STc6
</t>
    </r>
    <r>
      <rPr>
        <sz val="9"/>
        <color rgb="FF000000"/>
        <rFont val="Arial"/>
        <family val="2"/>
      </rPr>
      <t xml:space="preserve">• Klassifikation, epidemiologi, orsaker, patofysiologi, klinisk bild, differentialdiagnoser, diagnostik, behandling och prognos vid hjärtstillestånd, akuta hjärtsjukdomar och mekaniska komplikationer.
</t>
    </r>
    <r>
      <rPr>
        <b/>
        <sz val="9"/>
        <color rgb="FF1B3A5C"/>
        <rFont val="Arial"/>
        <family val="2"/>
      </rPr>
      <t xml:space="preserve">
Akut koronart syndrom (AKS) · s. 9 · Socialstyrelsens mål: STc7
</t>
    </r>
    <r>
      <rPr>
        <sz val="9"/>
        <color rgb="FF000000"/>
        <rFont val="Arial"/>
        <family val="2"/>
      </rPr>
      <t>• Komplikationer till AKS såsom arytmier, akut hjärtsvikt, hemodynamisk instabilitet, kardiogen chock, och akuta mekaniska komplikationer (klaffinsufficienser, VSD och hjärttamponad).</t>
    </r>
  </si>
  <si>
    <t>Hjärttamponad: orsaker (AKS, dissektion, iatrogent, malignt, infektiöst), hemodynamik</t>
  </si>
  <si>
    <t>Bygger på SvKF</t>
  </si>
  <si>
    <r>
      <rPr>
        <b/>
        <sz val="9"/>
        <color rgb="FF1B3A5C"/>
        <rFont val="Arial"/>
        <family val="2"/>
      </rPr>
      <t xml:space="preserve">Perikardsjukdom · s. 14 · Socialstyrelsens mål: STc8, STc10
</t>
    </r>
    <r>
      <rPr>
        <sz val="9"/>
        <color rgb="FF000000"/>
        <rFont val="Arial"/>
        <family val="2"/>
      </rPr>
      <t xml:space="preserve">• Handläggning av hotande och manifest hjärttamponad samt grundläggande praktisk kunskap för utförandet av urakut perikardiocentes.
</t>
    </r>
    <r>
      <rPr>
        <b/>
        <sz val="9"/>
        <color rgb="FF1B3A5C"/>
        <rFont val="Arial"/>
        <family val="2"/>
      </rPr>
      <t xml:space="preserve">
Akut koronart syndrom (AKS) · s. 9 · Socialstyrelsens mål: STc7
</t>
    </r>
    <r>
      <rPr>
        <sz val="9"/>
        <color rgb="FF000000"/>
        <rFont val="Arial"/>
        <family val="2"/>
      </rPr>
      <t xml:space="preserve">• Komplikationer till AKS såsom arytmier, akut hjärtsvikt, hemodynamisk instabilitet, kardiogen chock, och akuta mekaniska komplikationer (klaffinsufficienser, VSD och hjärttamponad).
</t>
    </r>
    <r>
      <rPr>
        <b/>
        <sz val="9"/>
        <color rgb="FF1B3A5C"/>
        <rFont val="Arial"/>
        <family val="2"/>
      </rPr>
      <t xml:space="preserve">
Hjärttumörer och kardiella komplikationer vid onkologisk sjukdom · s. 15 · Socialstyrelsens mål: STc10
</t>
    </r>
    <r>
      <rPr>
        <sz val="9"/>
        <color rgb="FF000000"/>
        <rFont val="Arial"/>
        <family val="2"/>
      </rPr>
      <t>• Komplikationer och hemodynamiska konsekvenser vid:
    – Perikardengagemang (konstriktion och tamponad).</t>
    </r>
  </si>
  <si>
    <t>Akut aortadissektion och aortaruptur: patofysiologi, hemodynamiska konsekvenser, associerade komplikationer (malperfusion, tamponad, akut AI)</t>
  </si>
  <si>
    <t>Bygger på SvKF</t>
  </si>
  <si>
    <r>
      <rPr>
        <b/>
        <sz val="9"/>
        <color rgb="FF1B3A5C"/>
        <rFont val="Arial"/>
        <family val="2"/>
      </rPr>
      <t xml:space="preserve">Aortasjukdomar · s. 13 · Socialstyrelsens mål: STc6, STc11
</t>
    </r>
    <r>
      <rPr>
        <sz val="9"/>
        <color rgb="FF000000"/>
        <rFont val="Arial"/>
        <family val="2"/>
      </rPr>
      <t>• Klassifikation, epidemiologi, orsaker, patofysiologi, klinisk bild, differentialdiagnoser, diagnostik, behandling, prognos och uppföljning vid thorakal aortasjukdom.
• Akut omhändertagande av patient med akut aortasyndrom.</t>
    </r>
  </si>
  <si>
    <t>Läkemedel mot arytmier (amiodaron, adenosin, atropin, isoprenalin, magnesium): verkningsmekanism, doser, biverkningar, indikation/kontraindikation och övervakning</t>
  </si>
  <si>
    <t>Bygger på SvKF</t>
  </si>
  <si>
    <r>
      <rPr>
        <b/>
        <sz val="9"/>
        <color rgb="FF1B3A5C"/>
        <rFont val="Arial"/>
        <family val="2"/>
      </rPr>
      <t xml:space="preserve">Klinisk farmakologi · s. 19 · Socialstyrelsens mål: ingår i de flesta c-målen
</t>
    </r>
    <r>
      <rPr>
        <sz val="9"/>
        <color rgb="FF000000"/>
        <rFont val="Arial"/>
        <family val="2"/>
      </rPr>
      <t xml:space="preserve">• Indikationer/kontraindikationer, farmakokinetik, verkningsmekanismer, vanliga och/eller allvarliga interaktioner, biverkningar och toxiska effekter för kardiovaskulära läkemedel, med fokus på följande grupper:
    – Antiarytmika.
</t>
    </r>
    <r>
      <rPr>
        <b/>
        <sz val="9"/>
        <color rgb="FF1B3A5C"/>
        <rFont val="Arial"/>
        <family val="2"/>
      </rPr>
      <t xml:space="preserve">
Arytmier och synkope › Takykardier · s. 11 · Socialstyrelsens mål: STc6, STc9
</t>
    </r>
    <r>
      <rPr>
        <sz val="9"/>
        <color rgb="FF000000"/>
        <rFont val="Arial"/>
        <family val="2"/>
      </rPr>
      <t xml:space="preserve">• Antiarytmisk läkemedelsbehandling (inklusive proarytmier) av supraventrikulära och ventrikulära takykardier.
</t>
    </r>
    <r>
      <rPr>
        <b/>
        <sz val="9"/>
        <color rgb="FF1B3A5C"/>
        <rFont val="Arial"/>
        <family val="2"/>
      </rPr>
      <t xml:space="preserve">
Arytmier och synkope · s. 11 · Socialstyrelsens mål: STc6, STc9
</t>
    </r>
    <r>
      <rPr>
        <sz val="9"/>
        <color rgb="FF000000"/>
        <rFont val="Arial"/>
        <family val="2"/>
      </rPr>
      <t>• Klassifikation, epidemiologi, orsaker, patofysiologi, klinisk bild, differentialdiagnoser, diagnostik, behandling och prognos vid supraventrikulära och ventrikulära takyarytmier, bradykardier samt synkope.</t>
    </r>
  </si>
  <si>
    <t>Läkemedelsexemplen är tillagda.</t>
  </si>
  <si>
    <t>Vasopressorer, inotroper och inodilatorer: verkningsmekanism, doser, biverkningar och indikation/kontraindikation</t>
  </si>
  <si>
    <t>Bygger på SvKF</t>
  </si>
  <si>
    <r>
      <rPr>
        <b/>
        <sz val="9"/>
        <color rgb="FF1B3A5C"/>
        <rFont val="Arial"/>
        <family val="2"/>
      </rPr>
      <t xml:space="preserve">Klinisk farmakologi · s. 19 · Socialstyrelsens mål: ingår i de flesta c-målen
</t>
    </r>
    <r>
      <rPr>
        <sz val="9"/>
        <color rgb="FF000000"/>
        <rFont val="Arial"/>
        <family val="2"/>
      </rPr>
      <t xml:space="preserve">• Indikationer/kontraindikationer, farmakokinetik, verkningsmekanismer, vanliga och/eller allvarliga interaktioner, biverkningar och toxiska effekter för kardiovaskulära läkemedel, med fokus på följande grupper:
    – Inotropa och vasoaktiva läkemedel.
</t>
    </r>
    <r>
      <rPr>
        <b/>
        <sz val="9"/>
        <color rgb="FF1B3A5C"/>
        <rFont val="Arial"/>
        <family val="2"/>
      </rPr>
      <t xml:space="preserve">
Akut omhändertagande av livshotande kardiologiska tillstånd · s. 8 · Socialstyrelsens mål: STc6
</t>
    </r>
    <r>
      <rPr>
        <sz val="9"/>
        <color rgb="FF000000"/>
        <rFont val="Arial"/>
        <family val="2"/>
      </rPr>
      <t>• Läkemedelsbehandling vid hemodynamisk instabilitet.</t>
    </r>
  </si>
  <si>
    <t>Lungemboli: högersvikt, hemodynamik, risk-stratifiering</t>
  </si>
  <si>
    <t>Bygger på SvKF</t>
  </si>
  <si>
    <r>
      <rPr>
        <b/>
        <sz val="9"/>
        <color rgb="FF1B3A5C"/>
        <rFont val="Arial"/>
        <family val="2"/>
      </rPr>
      <t xml:space="preserve">Venös tromboembolism · s. 13 · Socialstyrelsens mål: STc6
</t>
    </r>
    <r>
      <rPr>
        <sz val="9"/>
        <color rgb="FF000000"/>
        <rFont val="Arial"/>
        <family val="2"/>
      </rPr>
      <t xml:space="preserve">• Epidemiologi, riskfaktorer, patofysiologi, symtomatologi, diagnostik, behandling och prevention av venös tromboembolism, inklusive akut tromboflebit, djup ventrombos, akut lungemboli och kronisk tromboembolisk pulmonell hypertension.
</t>
    </r>
    <r>
      <rPr>
        <b/>
        <sz val="9"/>
        <color rgb="FF1B3A5C"/>
        <rFont val="Arial"/>
        <family val="2"/>
      </rPr>
      <t xml:space="preserve">
Hjärtsvikt, kardiomyopatier och pulmonell hypertension · s. 10 · Socialstyrelsens mål: STc8
</t>
    </r>
    <r>
      <rPr>
        <sz val="9"/>
        <color rgb="FF000000"/>
        <rFont val="Arial"/>
        <family val="2"/>
      </rPr>
      <t>• Högerkammarsvikt.</t>
    </r>
  </si>
  <si>
    <t>Använda biokemiska markörer i akuta situationer (tex hs-troponin, NT-proBNP, D-dimer, laktat, blodgas (ABG/VBG), procalcitonin vid misstänkt infektion)</t>
  </si>
  <si>
    <t>Bygger på SvKF</t>
  </si>
  <si>
    <r>
      <rPr>
        <b/>
        <sz val="9"/>
        <color rgb="FF1B3A5C"/>
        <rFont val="Arial"/>
        <family val="2"/>
      </rPr>
      <t xml:space="preserve">Akut omhändertagande av livshotande kardiologiska tillstånd · s. 8 · Socialstyrelsens mål: STc6
</t>
    </r>
    <r>
      <rPr>
        <sz val="9"/>
        <color rgb="FF000000"/>
        <rFont val="Arial"/>
        <family val="2"/>
      </rPr>
      <t xml:space="preserve">• Klassifikation, epidemiologi, orsaker, patofysiologi, klinisk bild, differentialdiagnoser, diagnostik, behandling och prognos vid hjärtstillestånd, akuta hjärtsjukdomar och mekaniska komplikationer.
</t>
    </r>
    <r>
      <rPr>
        <b/>
        <sz val="9"/>
        <color rgb="FF1B3A5C"/>
        <rFont val="Arial"/>
        <family val="2"/>
      </rPr>
      <t xml:space="preserve">
Akut koronart syndrom (AKS) · s. 9 · Socialstyrelsens mål: STc7
</t>
    </r>
    <r>
      <rPr>
        <sz val="9"/>
        <color rgb="FF000000"/>
        <rFont val="Arial"/>
        <family val="2"/>
      </rPr>
      <t>• Diagnostik av AKS inkluderande anamnes, status, klinisk bild, EKG, ischemimonitorering och biokemiska markörer, samt klassifikation av hjärtinfarkt.</t>
    </r>
  </si>
  <si>
    <t>Akut högerhjärtsvikt (post-inferior STEMI eller massiv LE) — volymstrategi, inotropi, pulmonell vasodilatation, undvika hypoxi/acidos</t>
  </si>
  <si>
    <t>Bygger på SvKF</t>
  </si>
  <si>
    <r>
      <rPr>
        <b/>
        <sz val="9"/>
        <color rgb="FF1B3A5C"/>
        <rFont val="Arial"/>
        <family val="2"/>
      </rPr>
      <t xml:space="preserve">Hjärtsvikt, kardiomyopatier och pulmonell hypertension · s. 10 · Socialstyrelsens mål: STc8
</t>
    </r>
    <r>
      <rPr>
        <sz val="9"/>
        <color rgb="FF000000"/>
        <rFont val="Arial"/>
        <family val="2"/>
      </rPr>
      <t xml:space="preserve">• Högerkammarsvikt.
</t>
    </r>
    <r>
      <rPr>
        <b/>
        <sz val="9"/>
        <color rgb="FF1B3A5C"/>
        <rFont val="Arial"/>
        <family val="2"/>
      </rPr>
      <t xml:space="preserve">
Akut omhändertagande av livshotande kardiologiska tillstånd · s. 8 · Socialstyrelsens mål: STc6
</t>
    </r>
    <r>
      <rPr>
        <sz val="9"/>
        <color rgb="FF000000"/>
        <rFont val="Arial"/>
        <family val="2"/>
      </rPr>
      <t xml:space="preserve">• Vätskebalans vid hemodynamisk instabilitet och akut hjärtsjukdom.
</t>
    </r>
    <r>
      <rPr>
        <b/>
        <sz val="9"/>
        <color rgb="FF1B3A5C"/>
        <rFont val="Arial"/>
        <family val="2"/>
      </rPr>
      <t xml:space="preserve">
Akut koronart syndrom (AKS) · s. 9 · Socialstyrelsens mål: STc7
</t>
    </r>
    <r>
      <rPr>
        <sz val="9"/>
        <color rgb="FF000000"/>
        <rFont val="Arial"/>
        <family val="2"/>
      </rPr>
      <t>• Komplikationer till AKS såsom arytmier, akut hjärtsvikt, hemodynamisk instabilitet, kardiogen chock, och akuta mekaniska komplikationer (klaffinsufficienser, VSD och hjärttamponad).</t>
    </r>
  </si>
  <si>
    <t>Akuta PCI-indikationer (STEMI, hög risk NSTEMI)</t>
  </si>
  <si>
    <t>Bygger på SvKF</t>
  </si>
  <si>
    <r>
      <rPr>
        <b/>
        <sz val="9"/>
        <color rgb="FF1B3A5C"/>
        <rFont val="Arial"/>
        <family val="2"/>
      </rPr>
      <t xml:space="preserve">Akut omhändertagande av livshotande kardiologiska tillstånd · s. 8 · Socialstyrelsens mål: STc6
</t>
    </r>
    <r>
      <rPr>
        <sz val="9"/>
        <color rgb="FF000000"/>
        <rFont val="Arial"/>
        <family val="2"/>
      </rPr>
      <t xml:space="preserve">• Handläggning av patient i samband med akut koronarangiografi och primär PCI.
</t>
    </r>
    <r>
      <rPr>
        <b/>
        <sz val="9"/>
        <color rgb="FF1B3A5C"/>
        <rFont val="Arial"/>
        <family val="2"/>
      </rPr>
      <t xml:space="preserve">
Akut koronart syndrom (AKS) · s. 9 · Socialstyrelsens mål: STc7
</t>
    </r>
    <r>
      <rPr>
        <sz val="9"/>
        <color rgb="FF000000"/>
        <rFont val="Arial"/>
        <family val="2"/>
      </rPr>
      <t>• Behandling vid AKS; inkluderande prehospitalt omhändertagande, antitrombotisk och antiischemisk läkemedelsbehandling, indikationer, kontraindikationer och tidsperspektiv för invasiv utredning och val av revaskularisering i akutskede.</t>
    </r>
  </si>
  <si>
    <t>Hemodynamisk monitorering (artärtryck, CVP)</t>
  </si>
  <si>
    <t>Ordagrant</t>
  </si>
  <si>
    <r>
      <rPr>
        <b/>
        <sz val="9"/>
        <color rgb="FF1B3A5C"/>
        <rFont val="Arial"/>
        <family val="2"/>
      </rPr>
      <t xml:space="preserve">Akut omhändertagande av livshotande kardiologiska tillstånd · s. 8 · Socialstyrelsens mål: STc6
</t>
    </r>
    <r>
      <rPr>
        <sz val="9"/>
        <color rgb="FF000000"/>
        <rFont val="Arial"/>
        <family val="2"/>
      </rPr>
      <t xml:space="preserve">• Ischemisk och hemodynamisk monitorering.
</t>
    </r>
    <r>
      <rPr>
        <b/>
        <sz val="9"/>
        <color rgb="FF1B3A5C"/>
        <rFont val="Arial"/>
        <family val="2"/>
      </rPr>
      <t xml:space="preserve">
Rekommendationslista – kompetensnivåer för färdigheter · s. 23
</t>
    </r>
    <r>
      <rPr>
        <sz val="9"/>
        <color rgb="FF000000"/>
        <rFont val="Arial"/>
        <family val="2"/>
      </rPr>
      <t>• Hemodynamisk monitorering med artärnål — nivå Sverige: 4, ESC: N/A</t>
    </r>
  </si>
  <si>
    <t>Exemplen i parentes är tillagda.</t>
  </si>
  <si>
    <t>Diagnostik av lungemboli (DT, eko, biomarkörer)</t>
  </si>
  <si>
    <t>Ordagrant</t>
  </si>
  <si>
    <r>
      <rPr>
        <b/>
        <sz val="9"/>
        <color rgb="FF1B3A5C"/>
        <rFont val="Arial"/>
        <family val="2"/>
      </rPr>
      <t xml:space="preserve">Venös tromboembolism · s. 13 · Socialstyrelsens mål: STc6
</t>
    </r>
    <r>
      <rPr>
        <sz val="9"/>
        <color rgb="FF000000"/>
        <rFont val="Arial"/>
        <family val="2"/>
      </rPr>
      <t>• Epidemiologi, riskfaktorer, patofysiologi, symtomatologi, diagnostik, behandling och prevention av venös tromboembolism, inklusive akut tromboflebit, djup ventrombos, akut lungemboli och kronisk tromboembolisk pulmonell hypertension.</t>
    </r>
  </si>
  <si>
    <t>Exemplen i parentes är tillagda.</t>
  </si>
  <si>
    <t>Diagnostik av aortasjukdom</t>
  </si>
  <si>
    <t>Ordagrant</t>
  </si>
  <si>
    <r>
      <rPr>
        <b/>
        <sz val="9"/>
        <color rgb="FF1B3A5C"/>
        <rFont val="Arial"/>
        <family val="2"/>
      </rPr>
      <t xml:space="preserve">Aortasjukdomar · s. 13 · Socialstyrelsens mål: STc6, STc11
</t>
    </r>
    <r>
      <rPr>
        <sz val="9"/>
        <color rgb="FF000000"/>
        <rFont val="Arial"/>
        <family val="2"/>
      </rPr>
      <t>• Klassifikation, epidemiologi, orsaker, patofysiologi, klinisk bild, differentialdiagnoser, diagnostik, behandling, prognos och uppföljning vid thorakal aortasjukdom.</t>
    </r>
  </si>
  <si>
    <t>Bedöma vårdnivå vid akuta tillstånd (HIA, IVA, thoraxkirurgi, intervention, avdelning)</t>
  </si>
  <si>
    <t>Ordagrant</t>
  </si>
  <si>
    <r>
      <rPr>
        <b/>
        <sz val="9"/>
        <color rgb="FF1B3A5C"/>
        <rFont val="Arial"/>
        <family val="2"/>
      </rPr>
      <t xml:space="preserve">Akut omhändertagande av livshotande kardiologiska tillstånd · s. 8 · Socialstyrelsens mål: STc6
</t>
    </r>
    <r>
      <rPr>
        <sz val="9"/>
        <color rgb="FF000000"/>
        <rFont val="Arial"/>
        <family val="2"/>
      </rPr>
      <t>• Bedömning av adekvat vårdnivå för patienter.</t>
    </r>
  </si>
  <si>
    <t>Exemplen i parentes är tillagda.</t>
  </si>
  <si>
    <t>Bedöma risk för komplikationer efter AKS/PCI/kirurgi</t>
  </si>
  <si>
    <t>Bygger på SvKF</t>
  </si>
  <si>
    <r>
      <rPr>
        <b/>
        <sz val="9"/>
        <color rgb="FF1B3A5C"/>
        <rFont val="Arial"/>
        <family val="2"/>
      </rPr>
      <t xml:space="preserve">Akut koronart syndrom (AKS) · s. 9 · Socialstyrelsens mål: STc7
</t>
    </r>
    <r>
      <rPr>
        <sz val="9"/>
        <color rgb="FF000000"/>
        <rFont val="Arial"/>
        <family val="2"/>
      </rPr>
      <t xml:space="preserve">• Komplikationer till AKS såsom arytmier, akut hjärtsvikt, hemodynamisk instabilitet, kardiogen chock, och akuta mekaniska komplikationer (klaffinsufficienser, VSD och hjärttamponad).
• Identifiera och initialt handlägga komplikationer vid hjärtkirurgi.
• Handläggning av komplikationer till invasiva ingrepp.
</t>
    </r>
    <r>
      <rPr>
        <b/>
        <sz val="9"/>
        <color rgb="FF1B3A5C"/>
        <rFont val="Arial"/>
        <family val="2"/>
      </rPr>
      <t xml:space="preserve">
Kardiologisk rehabilitering · s. 18 · Socialstyrelsens mål: STc12, STc13
</t>
    </r>
    <r>
      <rPr>
        <sz val="9"/>
        <color rgb="FF000000"/>
        <rFont val="Arial"/>
        <family val="2"/>
      </rPr>
      <t>• Komplikationer efter genomgången hjärt-/thoraxkirurgi.</t>
    </r>
  </si>
  <si>
    <t>Bedöma samsjuklighetens inverkan vid akuta tillstånd (t.ex. njursvikt, blödning, KOL, leversvikt, malignitet, skörhet)</t>
  </si>
  <si>
    <t>Bygger på SvKF</t>
  </si>
  <si>
    <r>
      <rPr>
        <b/>
        <sz val="9"/>
        <color rgb="FF1B3A5C"/>
        <rFont val="Arial"/>
        <family val="2"/>
      </rPr>
      <t xml:space="preserve">Akut koronart syndrom (AKS) · s. 9 · Socialstyrelsens mål: STc7
</t>
    </r>
    <r>
      <rPr>
        <sz val="9"/>
        <color rgb="FF000000"/>
        <rFont val="Arial"/>
        <family val="2"/>
      </rPr>
      <t xml:space="preserve">• Samsjuklighet vid AKS.
</t>
    </r>
    <r>
      <rPr>
        <b/>
        <sz val="9"/>
        <color rgb="FF1B3A5C"/>
        <rFont val="Arial"/>
        <family val="2"/>
      </rPr>
      <t xml:space="preserve">
Hjärtsvikt, kardiomyopatier och pulmonell hypertension · s. 10 · Socialstyrelsens mål: STc8
</t>
    </r>
    <r>
      <rPr>
        <sz val="9"/>
        <color rgb="FF000000"/>
        <rFont val="Arial"/>
        <family val="2"/>
      </rPr>
      <t xml:space="preserve">• Samsjuklighet vid hjärtsvikt.
</t>
    </r>
    <r>
      <rPr>
        <b/>
        <sz val="9"/>
        <color rgb="FF1B3A5C"/>
        <rFont val="Arial"/>
        <family val="2"/>
      </rPr>
      <t xml:space="preserve">
Definition av kompetensområdet · s. 3
</t>
    </r>
    <r>
      <rPr>
        <sz val="9"/>
        <color rgb="FF000000"/>
        <rFont val="Arial"/>
        <family val="2"/>
      </rPr>
      <t>• För specialistkompetens i kardiologi krävs att kunskaper och färdigheter uppnås enligt den gemensamma kunskapsbasen (“Common trunk”) för de internmedicinska basspecialiteterna. I denna gemensamma kunskapsbas ingår att:
    – Självständigt kunna bedöma och handlägga symtom och undersökningsfynd som talar för akut sjukdom eller sjukdomstillstånd inom internmedicin och angränsande basspecialiteter, även hos äldre patienter med multisjuklighet.</t>
    </r>
  </si>
  <si>
    <t>SvKF:s kardiologiska delmål anger samsjuklighet per sjukdomsgrupp; det generella kravet finns i den gemensamma kunskapsbasen (s. 3).</t>
  </si>
  <si>
    <t>Bedöma reversibilitet och prognos vid kardiogen chock — urval för MCS, transplantation, palliation</t>
  </si>
  <si>
    <t>Bygger på SvKF</t>
  </si>
  <si>
    <r>
      <rPr>
        <b/>
        <sz val="9"/>
        <color rgb="FF1B3A5C"/>
        <rFont val="Arial"/>
        <family val="2"/>
      </rPr>
      <t xml:space="preserve">Akut omhändertagande av livshotande kardiologiska tillstånd · s. 8 · Socialstyrelsens mål: STc6
</t>
    </r>
    <r>
      <rPr>
        <sz val="9"/>
        <color rgb="FF000000"/>
        <rFont val="Arial"/>
        <family val="2"/>
      </rPr>
      <t xml:space="preserve">• Ställningstagande till och genomförande av behandlingsbegränsningar, inklusive etiska och legala aspekter.
• Indikation för och olika typer av mekaniskt cirkulationsstöd.
</t>
    </r>
    <r>
      <rPr>
        <b/>
        <sz val="9"/>
        <color rgb="FF1B3A5C"/>
        <rFont val="Arial"/>
        <family val="2"/>
      </rPr>
      <t xml:space="preserve">
Hjärtsvikt, kardiomyopatier och pulmonell hypertension · s. 10 · Socialstyrelsens mål: STc8
</t>
    </r>
    <r>
      <rPr>
        <sz val="9"/>
        <color rgb="FF000000"/>
        <rFont val="Arial"/>
        <family val="2"/>
      </rPr>
      <t>• Indikationer och initial utredning inför hjärttransplantation.</t>
    </r>
  </si>
  <si>
    <t>Handlägga hjärtstopp inkl. avancerad HLR och post-resusciteringsvård inkl prognostisering och neurologisk bedömning</t>
  </si>
  <si>
    <t>Ordagrant</t>
  </si>
  <si>
    <r>
      <rPr>
        <b/>
        <sz val="9"/>
        <color rgb="FF1B3A5C"/>
        <rFont val="Arial"/>
        <family val="2"/>
      </rPr>
      <t xml:space="preserve">Akut omhändertagande av livshotande kardiologiska tillstånd · s. 8 · Socialstyrelsens mål: STc6
</t>
    </r>
    <r>
      <rPr>
        <sz val="9"/>
        <color rgb="FF000000"/>
        <rFont val="Arial"/>
        <family val="2"/>
      </rPr>
      <t>• Omhändertagande vid cirkulationsstillestånd och initiering respektive avbrytande av behandling.
• Fortsatt handläggning på intensivvårdsavdelning efter cirkulationsstillestånd, inklusive prognostisering och neurologisk bedömning.</t>
    </r>
  </si>
  <si>
    <t>Akut farmakologisk arytmibehandling: amiodaron, adenosin, atropin, isoprenalin, magnesium</t>
  </si>
  <si>
    <t>Bygger på SvKF</t>
  </si>
  <si>
    <r>
      <rPr>
        <b/>
        <sz val="9"/>
        <color rgb="FF1B3A5C"/>
        <rFont val="Arial"/>
        <family val="2"/>
      </rPr>
      <t xml:space="preserve">Arytmier och synkope › Takykardier · s. 11 · Socialstyrelsens mål: STc6, STc9
</t>
    </r>
    <r>
      <rPr>
        <sz val="9"/>
        <color rgb="FF000000"/>
        <rFont val="Arial"/>
        <family val="2"/>
      </rPr>
      <t xml:space="preserve">• Antiarytmisk läkemedelsbehandling (inklusive proarytmier) av supraventrikulära och ventrikulära takykardier.
</t>
    </r>
    <r>
      <rPr>
        <b/>
        <sz val="9"/>
        <color rgb="FF1B3A5C"/>
        <rFont val="Arial"/>
        <family val="2"/>
      </rPr>
      <t xml:space="preserve">
Klinisk farmakologi · s. 19 · Socialstyrelsens mål: ingår i de flesta c-målen
</t>
    </r>
    <r>
      <rPr>
        <sz val="9"/>
        <color rgb="FF000000"/>
        <rFont val="Arial"/>
        <family val="2"/>
      </rPr>
      <t xml:space="preserve">• Indikationer/kontraindikationer, farmakokinetik, verkningsmekanismer, vanliga och/eller allvarliga interaktioner, biverkningar och toxiska effekter för kardiovaskulära läkemedel, med fokus på följande grupper:
    – Antiarytmika.
</t>
    </r>
    <r>
      <rPr>
        <b/>
        <sz val="9"/>
        <color rgb="FF1B3A5C"/>
        <rFont val="Arial"/>
        <family val="2"/>
      </rPr>
      <t xml:space="preserve">
Arytmier och synkope · s. 11 · Socialstyrelsens mål: STc6, STc9
</t>
    </r>
    <r>
      <rPr>
        <sz val="9"/>
        <color rgb="FF000000"/>
        <rFont val="Arial"/>
        <family val="2"/>
      </rPr>
      <t>• Klassifikation, epidemiologi, orsaker, patofysiologi, klinisk bild, differentialdiagnoser, diagnostik, behandling och prognos vid supraventrikulära och ventrikulära takyarytmier, bradykardier samt synkope.</t>
    </r>
  </si>
  <si>
    <t>Läkemedelsexemplen är tillagda.</t>
  </si>
  <si>
    <t>Akut farmakologisk AKS-behandling: antitrombotika, nitroglycerin (infusion), betablockad; kontraindikationer och titrering</t>
  </si>
  <si>
    <t>Bygger på SvKF</t>
  </si>
  <si>
    <r>
      <rPr>
        <b/>
        <sz val="9"/>
        <color rgb="FF1B3A5C"/>
        <rFont val="Arial"/>
        <family val="2"/>
      </rPr>
      <t xml:space="preserve">Akut koronart syndrom (AKS) · s. 9 · Socialstyrelsens mål: STc7
</t>
    </r>
    <r>
      <rPr>
        <sz val="9"/>
        <color rgb="FF000000"/>
        <rFont val="Arial"/>
        <family val="2"/>
      </rPr>
      <t>• Behandling vid AKS; inkluderande prehospitalt omhändertagande, antitrombotisk och antiischemisk läkemedelsbehandling, indikationer, kontraindikationer och tidsperspektiv för invasiv utredning och val av revaskularisering i akutskede.</t>
    </r>
  </si>
  <si>
    <t>Akut svikt- och chockbehandling: diuretika, vasodilatorer, inotropi (dobutamin, milrinon, levosimendan, adrenalin), vasopressorer (noradrenalin, vasopressin)</t>
  </si>
  <si>
    <t>Bygger på SvKF</t>
  </si>
  <si>
    <r>
      <rPr>
        <b/>
        <sz val="9"/>
        <color rgb="FF1B3A5C"/>
        <rFont val="Arial"/>
        <family val="2"/>
      </rPr>
      <t xml:space="preserve">Hjärtsvikt, kardiomyopatier och pulmonell hypertension · s. 10 · Socialstyrelsens mål: STc8
</t>
    </r>
    <r>
      <rPr>
        <sz val="9"/>
        <color rgb="FF000000"/>
        <rFont val="Arial"/>
        <family val="2"/>
      </rPr>
      <t xml:space="preserve">• Handläggning av akut hjärtsvikt och lungödem inklusive noninvasiv ventilation.
• Läkemedelsbehandling vid akut och kronisk hjärtsvikt.
</t>
    </r>
    <r>
      <rPr>
        <b/>
        <sz val="9"/>
        <color rgb="FF1B3A5C"/>
        <rFont val="Arial"/>
        <family val="2"/>
      </rPr>
      <t xml:space="preserve">
Akut omhändertagande av livshotande kardiologiska tillstånd · s. 8 · Socialstyrelsens mål: STc6
</t>
    </r>
    <r>
      <rPr>
        <sz val="9"/>
        <color rgb="FF000000"/>
        <rFont val="Arial"/>
        <family val="2"/>
      </rPr>
      <t>• Läkemedelsbehandling vid hemodynamisk instabilitet.</t>
    </r>
  </si>
  <si>
    <t>Läkemedelsexemplen är tillagda.</t>
  </si>
  <si>
    <t>Initiera behandling vid lungemboli: antikoagulation, systemisk trombolys, kateterbaserad intervention, kirurgisk embolektomi, ECMO-indikation</t>
  </si>
  <si>
    <t>Bygger på SvKF</t>
  </si>
  <si>
    <r>
      <rPr>
        <b/>
        <sz val="9"/>
        <color rgb="FF1B3A5C"/>
        <rFont val="Arial"/>
        <family val="2"/>
      </rPr>
      <t xml:space="preserve">Venös tromboembolism · s. 13 · Socialstyrelsens mål: STc6
</t>
    </r>
    <r>
      <rPr>
        <sz val="9"/>
        <color rgb="FF000000"/>
        <rFont val="Arial"/>
        <family val="2"/>
      </rPr>
      <t>• Epidemiologi, riskfaktorer, patofysiologi, symtomatologi, diagnostik, behandling och prevention av venös tromboembolism, inklusive akut tromboflebit, djup ventrombos, akut lungemboli och kronisk tromboembolisk pulmonell hypertension.</t>
    </r>
  </si>
  <si>
    <t>Bedöma och initiera behandling vid aortadissektion (BT-kontroll, smärtlindring, kirurgi)</t>
  </si>
  <si>
    <t>Bygger på SvKF</t>
  </si>
  <si>
    <r>
      <rPr>
        <b/>
        <sz val="9"/>
        <color rgb="FF1B3A5C"/>
        <rFont val="Arial"/>
        <family val="2"/>
      </rPr>
      <t xml:space="preserve">Aortasjukdomar · s. 13 · Socialstyrelsens mål: STc6, STc11
</t>
    </r>
    <r>
      <rPr>
        <sz val="9"/>
        <color rgb="FF000000"/>
        <rFont val="Arial"/>
        <family val="2"/>
      </rPr>
      <t>• Medicinsk handläggning och kunskap om kirurgisk behandling vid thorakala aortasjukdomar.
• Akut omhändertagande av patient med akut aortasyndrom.</t>
    </r>
  </si>
  <si>
    <t>Bedöma akut kirurgibehov (dissektion, mekaniska AKS komplikation, endokardit, andra akuta klaffinsufficienser)</t>
  </si>
  <si>
    <t>Bygger på SvKF</t>
  </si>
  <si>
    <r>
      <rPr>
        <b/>
        <sz val="9"/>
        <color rgb="FF1B3A5C"/>
        <rFont val="Arial"/>
        <family val="2"/>
      </rPr>
      <t xml:space="preserve">Akut koronart syndrom (AKS) · s. 9 · Socialstyrelsens mål: STc7
</t>
    </r>
    <r>
      <rPr>
        <sz val="9"/>
        <color rgb="FF000000"/>
        <rFont val="Arial"/>
        <family val="2"/>
      </rPr>
      <t xml:space="preserve">• Komplikationer till AKS såsom arytmier, akut hjärtsvikt, hemodynamisk instabilitet, kardiogen chock, och akuta mekaniska komplikationer (klaffinsufficienser, VSD och hjärttamponad).
</t>
    </r>
    <r>
      <rPr>
        <b/>
        <sz val="9"/>
        <color rgb="FF1B3A5C"/>
        <rFont val="Arial"/>
        <family val="2"/>
      </rPr>
      <t xml:space="preserve">
Aortasjukdomar · s. 13 · Socialstyrelsens mål: STc6, STc11
</t>
    </r>
    <r>
      <rPr>
        <sz val="9"/>
        <color rgb="FF000000"/>
        <rFont val="Arial"/>
        <family val="2"/>
      </rPr>
      <t xml:space="preserve">• Medicinsk handläggning och kunskap om kirurgisk behandling vid thorakala aortasjukdomar.
</t>
    </r>
    <r>
      <rPr>
        <b/>
        <sz val="9"/>
        <color rgb="FF1B3A5C"/>
        <rFont val="Arial"/>
        <family val="2"/>
      </rPr>
      <t xml:space="preserve">
Infektiös endokardit · s. 14 · Socialstyrelsens mål: STc10
</t>
    </r>
    <r>
      <rPr>
        <sz val="9"/>
        <color rgb="FF000000"/>
        <rFont val="Arial"/>
        <family val="2"/>
      </rPr>
      <t xml:space="preserve">• Antibiotikaterapi samt indikationer, tidsperspektiv och risker med invasiv behandling (kirurgi, device-extraktion).
</t>
    </r>
    <r>
      <rPr>
        <b/>
        <sz val="9"/>
        <color rgb="FF1B3A5C"/>
        <rFont val="Arial"/>
        <family val="2"/>
      </rPr>
      <t xml:space="preserve">
Hjärtklaffsjukdomar · s. 11 · Socialstyrelsens mål: STc8
</t>
    </r>
    <r>
      <rPr>
        <sz val="9"/>
        <color rgb="FF000000"/>
        <rFont val="Arial"/>
        <family val="2"/>
      </rPr>
      <t>• Indikationer för och risk/nytta med medicinsk, kirurgisk och perkutan behandling vid hjärtklaffsjukdom samt lämplig tidpunkt för intervention.</t>
    </r>
  </si>
  <si>
    <t>Indikationer för CRRT och akut dialys</t>
  </si>
  <si>
    <t>Ordagrant</t>
  </si>
  <si>
    <r>
      <rPr>
        <b/>
        <sz val="9"/>
        <color rgb="FF1B3A5C"/>
        <rFont val="Arial"/>
        <family val="2"/>
      </rPr>
      <t xml:space="preserve">Akut omhändertagande av livshotande kardiologiska tillstånd · s. 8 · Socialstyrelsens mål: STc6
</t>
    </r>
    <r>
      <rPr>
        <sz val="9"/>
        <color rgb="FF000000"/>
        <rFont val="Arial"/>
        <family val="2"/>
      </rPr>
      <t>• Indikation för kontinuerlig njurersättningsterapi (CRRT) och dialys.</t>
    </r>
  </si>
  <si>
    <t>Massiv blödning hos antikoagulerad patient: akut reversering (vitamin K, PCC, idarucizumab, andexanet alfa, protaminsulfat), transfusionsstrategi</t>
  </si>
  <si>
    <t>Egen formulering</t>
  </si>
  <si>
    <r>
      <rPr>
        <i/>
        <sz val="9"/>
        <color rgb="FF595959"/>
        <rFont val="Arial"/>
        <family val="2"/>
      </rPr>
      <t xml:space="preserve">Närliggande i SvKF 2022:
</t>
    </r>
    <r>
      <rPr>
        <b/>
        <sz val="9"/>
        <color rgb="FF1B3A5C"/>
        <rFont val="Arial"/>
        <family val="2"/>
      </rPr>
      <t xml:space="preserve">Klinisk farmakologi · s. 19 · Socialstyrelsens mål: ingår i de flesta c-målen
</t>
    </r>
    <r>
      <rPr>
        <sz val="9"/>
        <color rgb="FF000000"/>
        <rFont val="Arial"/>
        <family val="2"/>
      </rPr>
      <t>• Indikationer/kontraindikationer, farmakokinetik, verkningsmekanismer, vanliga och/eller allvarliga interaktioner, biverkningar och toxiska effekter för kardiovaskulära läkemedel, med fokus på följande grupper:
    – Antikoagulantia.</t>
    </r>
  </si>
  <si>
    <t>Reversering och transfusionsstrategi finns inte som eget delmål i SvKF 2022.</t>
  </si>
  <si>
    <t>Electrisk storm: sedering, betablockad iv (esmolol), amiodaron, MCS-övervägande, akut ablation-indikation</t>
  </si>
  <si>
    <t>Bygger på SvKF</t>
  </si>
  <si>
    <r>
      <rPr>
        <b/>
        <sz val="9"/>
        <color rgb="FF1B3A5C"/>
        <rFont val="Arial"/>
        <family val="2"/>
      </rPr>
      <t xml:space="preserve">Arytmier och synkope › Takykardier · s. 11–12 · Socialstyrelsens mål: STc6, STc9
</t>
    </r>
    <r>
      <rPr>
        <sz val="9"/>
        <color rgb="FF000000"/>
        <rFont val="Arial"/>
        <family val="2"/>
      </rPr>
      <t xml:space="preserve">• Antiarytmisk läkemedelsbehandling (inklusive proarytmier) av supraventrikulära och ventrikulära takykardier.
• Indikationer, kontraindikationer, komplikationer och prognos för invasiva behandlingsmetoder såsom kateterablation och kirurgi vid ventrikulära extraslag och ventrikulär takykardi.
</t>
    </r>
    <r>
      <rPr>
        <b/>
        <sz val="9"/>
        <color rgb="FF1B3A5C"/>
        <rFont val="Arial"/>
        <family val="2"/>
      </rPr>
      <t xml:space="preserve">
Akut omhändertagande av livshotande kardiologiska tillstånd · s. 8 · Socialstyrelsens mål: STc6
</t>
    </r>
    <r>
      <rPr>
        <sz val="9"/>
        <color rgb="FF000000"/>
        <rFont val="Arial"/>
        <family val="2"/>
      </rPr>
      <t>• Indikation för och olika typer av mekaniskt cirkulationsstöd.</t>
    </r>
  </si>
  <si>
    <t>Elektrisk storm nämns inte med namn i SvKF 2022.</t>
  </si>
  <si>
    <t>Indikation, kontraindikation och komplikationer för olika typer av mekaniskt cirkulationsstöd (IABP, impella, VA/VV-ecmo)</t>
  </si>
  <si>
    <t>Bygger på SvKF</t>
  </si>
  <si>
    <r>
      <rPr>
        <b/>
        <sz val="9"/>
        <color rgb="FF1B3A5C"/>
        <rFont val="Arial"/>
        <family val="2"/>
      </rPr>
      <t xml:space="preserve">Akut omhändertagande av livshotande kardiologiska tillstånd · s. 8 · Socialstyrelsens mål: STc6
</t>
    </r>
    <r>
      <rPr>
        <sz val="9"/>
        <color rgb="FF000000"/>
        <rFont val="Arial"/>
        <family val="2"/>
      </rPr>
      <t>• Indikation för och olika typer av mekaniskt cirkulationsstöd.</t>
    </r>
  </si>
  <si>
    <t>Kontraindikationer, komplikationer och exemplen är tillagda.</t>
  </si>
  <si>
    <t>HIA  –  praktiska färdigheter (9 st: 6 ordagrant · 2 bygger på SvKF · 1 egen formulering)</t>
  </si>
  <si>
    <t>Artärnål</t>
  </si>
  <si>
    <t>Ordagrant</t>
  </si>
  <si>
    <r>
      <rPr>
        <b/>
        <sz val="9"/>
        <color rgb="FF1B3A5C"/>
        <rFont val="Arial"/>
        <family val="2"/>
      </rPr>
      <t xml:space="preserve">Invasiv bild- och funktionsdiagnostik · s. 21 · Socialstyrelsens mål: STc7, STc8
</t>
    </r>
    <r>
      <rPr>
        <sz val="9"/>
        <color rgb="FF000000"/>
        <rFont val="Arial"/>
        <family val="2"/>
      </rPr>
      <t xml:space="preserve">• Utföra/assistera vid anläggande av arteriell access.
</t>
    </r>
    <r>
      <rPr>
        <b/>
        <sz val="9"/>
        <color rgb="FF1B3A5C"/>
        <rFont val="Arial"/>
        <family val="2"/>
      </rPr>
      <t xml:space="preserve">
Rekommendationslista – kompetensnivåer för färdigheter · s. 23
</t>
    </r>
    <r>
      <rPr>
        <sz val="9"/>
        <color rgb="FF000000"/>
        <rFont val="Arial"/>
        <family val="2"/>
      </rPr>
      <t>• Perifer arteriell och central venös access — nivå Sverige: 3, ESC: N/A
• Hemodynamisk monitorering med artärnål — nivå Sverige: 4, ESC: N/A</t>
    </r>
  </si>
  <si>
    <t>Leda hjärtstopp</t>
  </si>
  <si>
    <t>Bygger på SvKF</t>
  </si>
  <si>
    <r>
      <rPr>
        <b/>
        <sz val="9"/>
        <color rgb="FF1B3A5C"/>
        <rFont val="Arial"/>
        <family val="2"/>
      </rPr>
      <t xml:space="preserve">Akut omhändertagande av livshotande kardiologiska tillstånd · s. 8 · Socialstyrelsens mål: STc6
</t>
    </r>
    <r>
      <rPr>
        <sz val="9"/>
        <color rgb="FF000000"/>
        <rFont val="Arial"/>
        <family val="2"/>
      </rPr>
      <t xml:space="preserve">• Omhändertagande vid cirkulationsstillestånd och initiering respektive avbrytande av behandling.
</t>
    </r>
    <r>
      <rPr>
        <b/>
        <sz val="9"/>
        <color rgb="FF1B3A5C"/>
        <rFont val="Arial"/>
        <family val="2"/>
      </rPr>
      <t xml:space="preserve">
Rekommendationslista – kompetensnivåer för färdigheter · s. 23
</t>
    </r>
    <r>
      <rPr>
        <sz val="9"/>
        <color rgb="FF000000"/>
        <rFont val="Arial"/>
        <family val="2"/>
      </rPr>
      <t>• Avancerad HLR — nivå Sverige: 5, ESC: 5</t>
    </r>
  </si>
  <si>
    <t>Akut perikardiocentes vid tamponad (ultraljudsvägledd)</t>
  </si>
  <si>
    <t>Ordagrant</t>
  </si>
  <si>
    <r>
      <rPr>
        <b/>
        <sz val="9"/>
        <color rgb="FF1B3A5C"/>
        <rFont val="Arial"/>
        <family val="2"/>
      </rPr>
      <t xml:space="preserve">Akut omhändertagande av livshotande kardiologiska tillstånd · s. 8 · Socialstyrelsens mål: STc6
</t>
    </r>
    <r>
      <rPr>
        <sz val="9"/>
        <color rgb="FF000000"/>
        <rFont val="Arial"/>
        <family val="2"/>
      </rPr>
      <t xml:space="preserve">• Perikardiocentes, delaktighet vid genomförande. Grundläggande praktisk kunskap för urakut handläggning.
</t>
    </r>
    <r>
      <rPr>
        <b/>
        <sz val="9"/>
        <color rgb="FF1B3A5C"/>
        <rFont val="Arial"/>
        <family val="2"/>
      </rPr>
      <t xml:space="preserve">
Perikardsjukdom · s. 14 · Socialstyrelsens mål: STc8, STc10
</t>
    </r>
    <r>
      <rPr>
        <sz val="9"/>
        <color rgb="FF000000"/>
        <rFont val="Arial"/>
        <family val="2"/>
      </rPr>
      <t xml:space="preserve">• Handläggning av hotande och manifest hjärttamponad samt grundläggande praktisk kunskap för utförandet av urakut perikardiocentes.
</t>
    </r>
    <r>
      <rPr>
        <b/>
        <sz val="9"/>
        <color rgb="FF1B3A5C"/>
        <rFont val="Arial"/>
        <family val="2"/>
      </rPr>
      <t xml:space="preserve">
Rekommendationslista – kompetensnivåer för färdigheter · s. 23
</t>
    </r>
    <r>
      <rPr>
        <sz val="9"/>
        <color rgb="FF000000"/>
        <rFont val="Arial"/>
        <family val="2"/>
      </rPr>
      <t>• Perikardiocentes, delaktighet vid genomförande — nivå Sverige: 2, ESC: 5</t>
    </r>
  </si>
  <si>
    <t>Extern/transkutan pacing</t>
  </si>
  <si>
    <t>Ordagrant</t>
  </si>
  <si>
    <r>
      <rPr>
        <b/>
        <sz val="9"/>
        <color rgb="FF1B3A5C"/>
        <rFont val="Arial"/>
        <family val="2"/>
      </rPr>
      <t xml:space="preserve">Arytmier och synkope › Bradykardier och device · s. 12 · Socialstyrelsens mål: STc6, STc9
</t>
    </r>
    <r>
      <rPr>
        <sz val="9"/>
        <color rgb="FF000000"/>
        <rFont val="Arial"/>
        <family val="2"/>
      </rPr>
      <t xml:space="preserve">• Extern/transkutan pacemakerbehandling
</t>
    </r>
    <r>
      <rPr>
        <b/>
        <sz val="9"/>
        <color rgb="FF1B3A5C"/>
        <rFont val="Arial"/>
        <family val="2"/>
      </rPr>
      <t xml:space="preserve">
Akut omhändertagande av livshotande kardiologiska tillstånd · s. 8 · Socialstyrelsens mål: STc6
</t>
    </r>
    <r>
      <rPr>
        <sz val="9"/>
        <color rgb="FF000000"/>
        <rFont val="Arial"/>
        <family val="2"/>
      </rPr>
      <t xml:space="preserve">• Akut elkonvertering och extern pacing.
</t>
    </r>
    <r>
      <rPr>
        <b/>
        <sz val="9"/>
        <color rgb="FF1B3A5C"/>
        <rFont val="Arial"/>
        <family val="2"/>
      </rPr>
      <t xml:space="preserve">
Rekommendationslista – kompetensnivåer för färdigheter · s. 23
</t>
    </r>
    <r>
      <rPr>
        <sz val="9"/>
        <color rgb="FF000000"/>
        <rFont val="Arial"/>
        <family val="2"/>
      </rPr>
      <t>• Extern pacemakerbehandling — nivå Sverige: 5, ESC: N/A</t>
    </r>
  </si>
  <si>
    <t>LUCAS</t>
  </si>
  <si>
    <t>Egen formulering</t>
  </si>
  <si>
    <r>
      <rPr>
        <i/>
        <sz val="9"/>
        <color rgb="FF595959"/>
        <rFont val="Arial"/>
        <family val="2"/>
      </rPr>
      <t xml:space="preserve">Närliggande i SvKF 2022:
</t>
    </r>
    <r>
      <rPr>
        <b/>
        <sz val="9"/>
        <color rgb="FF1B3A5C"/>
        <rFont val="Arial"/>
        <family val="2"/>
      </rPr>
      <t xml:space="preserve">Akut omhändertagande av livshotande kardiologiska tillstånd · s. 8 · Socialstyrelsens mål: STc6
</t>
    </r>
    <r>
      <rPr>
        <sz val="9"/>
        <color rgb="FF000000"/>
        <rFont val="Arial"/>
        <family val="2"/>
      </rPr>
      <t xml:space="preserve">• Omhändertagande vid cirkulationsstillestånd och initiering respektive avbrytande av behandling.
</t>
    </r>
    <r>
      <rPr>
        <b/>
        <sz val="9"/>
        <color rgb="FF1B3A5C"/>
        <rFont val="Arial"/>
        <family val="2"/>
      </rPr>
      <t xml:space="preserve">
Rekommendationslista – kompetensnivåer för färdigheter · s. 23
</t>
    </r>
    <r>
      <rPr>
        <sz val="9"/>
        <color rgb="FF000000"/>
        <rFont val="Arial"/>
        <family val="2"/>
      </rPr>
      <t>• Avancerad HLR — nivå Sverige: 5, ESC: 5</t>
    </r>
  </si>
  <si>
    <t>LUCAS/mekanisk kompression nämns inte i SvKF 2022.</t>
  </si>
  <si>
    <t>Elkonvertering (akut)</t>
  </si>
  <si>
    <t>Ordagrant</t>
  </si>
  <si>
    <r>
      <rPr>
        <b/>
        <sz val="9"/>
        <color rgb="FF1B3A5C"/>
        <rFont val="Arial"/>
        <family val="2"/>
      </rPr>
      <t xml:space="preserve">Akut omhändertagande av livshotande kardiologiska tillstånd · s. 8 · Socialstyrelsens mål: STc6
</t>
    </r>
    <r>
      <rPr>
        <sz val="9"/>
        <color rgb="FF000000"/>
        <rFont val="Arial"/>
        <family val="2"/>
      </rPr>
      <t xml:space="preserve">• Akut elkonvertering och extern pacing.
</t>
    </r>
    <r>
      <rPr>
        <b/>
        <sz val="9"/>
        <color rgb="FF1B3A5C"/>
        <rFont val="Arial"/>
        <family val="2"/>
      </rPr>
      <t xml:space="preserve">
Rekommendationslista – kompetensnivåer för färdigheter · s. 23
</t>
    </r>
    <r>
      <rPr>
        <sz val="9"/>
        <color rgb="FF000000"/>
        <rFont val="Arial"/>
        <family val="2"/>
      </rPr>
      <t>• Elkonvertering — nivå Sverige: 5, ESC: 5</t>
    </r>
  </si>
  <si>
    <t>ICD inaktivering med magnet</t>
  </si>
  <si>
    <t>Ordagrant</t>
  </si>
  <si>
    <r>
      <rPr>
        <b/>
        <sz val="9"/>
        <color rgb="FF1B3A5C"/>
        <rFont val="Arial"/>
        <family val="2"/>
      </rPr>
      <t xml:space="preserve">Akut omhändertagande av livshotande kardiologiska tillstånd · s. 8 · Socialstyrelsens mål: STc6
</t>
    </r>
    <r>
      <rPr>
        <sz val="9"/>
        <color rgb="FF000000"/>
        <rFont val="Arial"/>
        <family val="2"/>
      </rPr>
      <t xml:space="preserve">• Indikationer för ICD samt inaktivering med programmerare respektive magnet.
</t>
    </r>
    <r>
      <rPr>
        <b/>
        <sz val="9"/>
        <color rgb="FF1B3A5C"/>
        <rFont val="Arial"/>
        <family val="2"/>
      </rPr>
      <t xml:space="preserve">
Arytmier och synkope › Bradykardier och device · s. 12 · Socialstyrelsens mål: STc6, STc9
</t>
    </r>
    <r>
      <rPr>
        <sz val="9"/>
        <color rgb="FF000000"/>
        <rFont val="Arial"/>
        <family val="2"/>
      </rPr>
      <t xml:space="preserve">• Pacemaker- och ICD-avläsning samt basal programmering:
    – Stänga av takykardibrytande terapier på en ICD (magnet och omprogrammering).
</t>
    </r>
    <r>
      <rPr>
        <b/>
        <sz val="9"/>
        <color rgb="FF1B3A5C"/>
        <rFont val="Arial"/>
        <family val="2"/>
      </rPr>
      <t xml:space="preserve">
Rekommendationslista – kompetensnivåer för färdigheter · s. 23
</t>
    </r>
    <r>
      <rPr>
        <sz val="9"/>
        <color rgb="FF000000"/>
        <rFont val="Arial"/>
        <family val="2"/>
      </rPr>
      <t xml:space="preserve">• ICD: Avstängning av chockterapier med programmerare — nivå Sverige: 4, ESC: N/A
</t>
    </r>
    <r>
      <rPr>
        <b/>
        <sz val="9"/>
        <color rgb="FF1B3A5C"/>
        <rFont val="Arial"/>
        <family val="2"/>
      </rPr>
      <t xml:space="preserve">
Arytmier och synkope › Takykardier · s. 12 · Socialstyrelsens mål: STc6, STc9
</t>
    </r>
    <r>
      <rPr>
        <sz val="9"/>
        <color rgb="FF000000"/>
        <rFont val="Arial"/>
        <family val="2"/>
      </rPr>
      <t>• Inaktivering av en ICD med magnet och programmerare samt avslutande av ICD-behandling i livets slutskede.</t>
    </r>
  </si>
  <si>
    <t>EKO vid akuta tillstånd (tamponad, chock, rupturer, akut svikt)</t>
  </si>
  <si>
    <t>Bygger på SvKF</t>
  </si>
  <si>
    <r>
      <rPr>
        <b/>
        <sz val="9"/>
        <color rgb="FF1B3A5C"/>
        <rFont val="Arial"/>
        <family val="2"/>
      </rPr>
      <t xml:space="preserve">Noninvasiv bild- och funktionsdiagnostik › Utföra och tolka · s. 20 · Socialstyrelsens mål: STc7
</t>
    </r>
    <r>
      <rPr>
        <sz val="9"/>
        <color rgb="FF000000"/>
        <rFont val="Arial"/>
        <family val="2"/>
      </rPr>
      <t xml:space="preserve">• Transthorakal ekokardiografi (TTE).
</t>
    </r>
    <r>
      <rPr>
        <b/>
        <sz val="9"/>
        <color rgb="FF1B3A5C"/>
        <rFont val="Arial"/>
        <family val="2"/>
      </rPr>
      <t xml:space="preserve">
Rekommendationslista – kompetensnivåer för färdigheter · s. 23
</t>
    </r>
    <r>
      <rPr>
        <sz val="9"/>
        <color rgb="FF000000"/>
        <rFont val="Arial"/>
        <family val="2"/>
      </rPr>
      <t>• Transthorakal basal ekokardiografi med doppler (TTE) — nivå Sverige: 5, ESC: 5</t>
    </r>
  </si>
  <si>
    <t>Fokuserat eko i akuta lägen är en konkretisering.</t>
  </si>
  <si>
    <t>NIV</t>
  </si>
  <si>
    <t>Ordagrant</t>
  </si>
  <si>
    <r>
      <rPr>
        <b/>
        <sz val="9"/>
        <color rgb="FF1B3A5C"/>
        <rFont val="Arial"/>
        <family val="2"/>
      </rPr>
      <t xml:space="preserve">Akut omhändertagande av livshotande kardiologiska tillstånd · s. 8 · Socialstyrelsens mål: STc6
</t>
    </r>
    <r>
      <rPr>
        <sz val="9"/>
        <color rgb="FF000000"/>
        <rFont val="Arial"/>
        <family val="2"/>
      </rPr>
      <t xml:space="preserve">• Indikationer för noninvasiv ventilation vid hjärtsjukdom.
</t>
    </r>
    <r>
      <rPr>
        <b/>
        <sz val="9"/>
        <color rgb="FF1B3A5C"/>
        <rFont val="Arial"/>
        <family val="2"/>
      </rPr>
      <t xml:space="preserve">
Rekommendationslista – kompetensnivåer för färdigheter · s. 23
</t>
    </r>
    <r>
      <rPr>
        <sz val="9"/>
        <color rgb="FF000000"/>
        <rFont val="Arial"/>
        <family val="2"/>
      </rPr>
      <t>• Non-invasiv ventilatorbehandling med CPAP — nivå Sverige: 5, ESC: N/A</t>
    </r>
  </si>
  <si>
    <t>HJÄRTSVIKT &amp; KLAFF  –  lärandemål (33 st: 26 ordagrant · 7 bygger på SvKF)</t>
  </si>
  <si>
    <t>Akut och kronisk hjärtsvikt: klassifikation, epidemiologi, orsaker, och patofysiologi</t>
  </si>
  <si>
    <t>Ordagrant</t>
  </si>
  <si>
    <r>
      <rPr>
        <b/>
        <sz val="9"/>
        <color rgb="FF1B3A5C"/>
        <rFont val="Arial"/>
        <family val="2"/>
      </rPr>
      <t xml:space="preserve">Hjärtsvikt, kardiomyopatier och pulmonell hypertension · s. 10 · Socialstyrelsens mål: STc8
</t>
    </r>
    <r>
      <rPr>
        <sz val="9"/>
        <color rgb="FF000000"/>
        <rFont val="Arial"/>
        <family val="2"/>
      </rPr>
      <t>• Definition, klassifikation, epidemiologi, riskfaktorer, etiologier, patofysiologi och prognos vid akut hjärtsvikt och kronisk hjärtsvikt i relation till grad av kammardysfunktion.</t>
    </r>
  </si>
  <si>
    <t>Aortaklaffsjukdom: klassifikation, epidemiologi, orsaker, och patofysiologi</t>
  </si>
  <si>
    <t>Ordagrant</t>
  </si>
  <si>
    <r>
      <rPr>
        <b/>
        <sz val="9"/>
        <color rgb="FF1B3A5C"/>
        <rFont val="Arial"/>
        <family val="2"/>
      </rPr>
      <t xml:space="preserve">Hjärtklaffsjukdomar · s. 11 · Socialstyrelsens mål: STc8
</t>
    </r>
    <r>
      <rPr>
        <sz val="9"/>
        <color rgb="FF000000"/>
        <rFont val="Arial"/>
        <family val="2"/>
      </rPr>
      <t>• Klassifikation, epidemiologi, orsaker, patofysiologi, symtom, differentialdiagnoser, komplikationer och prognos vid hjärtklaffsjukdom.</t>
    </r>
  </si>
  <si>
    <t>Uppdelat per klaff.</t>
  </si>
  <si>
    <t>Mitralklaffsjukdom: klassifikation, epidemiologi, orsaker, och patofysiologi</t>
  </si>
  <si>
    <t>Ordagrant</t>
  </si>
  <si>
    <r>
      <rPr>
        <b/>
        <sz val="9"/>
        <color rgb="FF1B3A5C"/>
        <rFont val="Arial"/>
        <family val="2"/>
      </rPr>
      <t xml:space="preserve">Hjärtklaffsjukdomar · s. 11 · Socialstyrelsens mål: STc8
</t>
    </r>
    <r>
      <rPr>
        <sz val="9"/>
        <color rgb="FF000000"/>
        <rFont val="Arial"/>
        <family val="2"/>
      </rPr>
      <t>• Klassifikation, epidemiologi, orsaker, patofysiologi, symtom, differentialdiagnoser, komplikationer och prognos vid hjärtklaffsjukdom.</t>
    </r>
  </si>
  <si>
    <t>Uppdelat per klaff.</t>
  </si>
  <si>
    <t>Trikuskidalissjukdom: klassifikation, epidemiologi, orsaker, och patofysiologi</t>
  </si>
  <si>
    <t>Ordagrant</t>
  </si>
  <si>
    <r>
      <rPr>
        <b/>
        <sz val="9"/>
        <color rgb="FF1B3A5C"/>
        <rFont val="Arial"/>
        <family val="2"/>
      </rPr>
      <t xml:space="preserve">Hjärtklaffsjukdomar · s. 11 · Socialstyrelsens mål: STc8
</t>
    </r>
    <r>
      <rPr>
        <sz val="9"/>
        <color rgb="FF000000"/>
        <rFont val="Arial"/>
        <family val="2"/>
      </rPr>
      <t>• Klassifikation, epidemiologi, orsaker, patofysiologi, symtom, differentialdiagnoser, komplikationer och prognos vid hjärtklaffsjukdom.</t>
    </r>
  </si>
  <si>
    <t>Uppdelat per klaff.</t>
  </si>
  <si>
    <t>Hjärtsviktsläkemedel (ACEi/ARB, BB, MRA, ARNI, SGLT2i, digoxin, loop diuretika): verkningsmekanism, farmakodynamik/kinetik</t>
  </si>
  <si>
    <t>Bygger på SvKF</t>
  </si>
  <si>
    <r>
      <rPr>
        <b/>
        <sz val="9"/>
        <color rgb="FF1B3A5C"/>
        <rFont val="Arial"/>
        <family val="2"/>
      </rPr>
      <t xml:space="preserve">Klinisk farmakologi · s. 19 · Socialstyrelsens mål: ingår i de flesta c-målen
</t>
    </r>
    <r>
      <rPr>
        <sz val="9"/>
        <color rgb="FF000000"/>
        <rFont val="Arial"/>
        <family val="2"/>
      </rPr>
      <t xml:space="preserve">• Indikationer/kontraindikationer, farmakokinetik, verkningsmekanismer, vanliga och/eller allvarliga interaktioner, biverkningar och toxiska effekter för kardiovaskulära läkemedel, med fokus på följande grupper:
    – Beta- och alfareceptorblockad.
    – Diuretika.
    – Natriumglukostransportör 2 (SGLT2) hämmare.
    – RAAS- och neprilysin-hämmare.
</t>
    </r>
    <r>
      <rPr>
        <b/>
        <sz val="9"/>
        <color rgb="FF1B3A5C"/>
        <rFont val="Arial"/>
        <family val="2"/>
      </rPr>
      <t xml:space="preserve">
Hjärtsvikt, kardiomyopatier och pulmonell hypertension · s. 10 · Socialstyrelsens mål: STc8
</t>
    </r>
    <r>
      <rPr>
        <sz val="9"/>
        <color rgb="FF000000"/>
        <rFont val="Arial"/>
        <family val="2"/>
      </rPr>
      <t>• Läkemedelsbehandling vid akut och kronisk hjärtsvikt.</t>
    </r>
  </si>
  <si>
    <t>Läkemedelsexemplen är tillagda.</t>
  </si>
  <si>
    <t>Pulmonalissjukdom: klassifikation, epidemiologi, orsaker, och patofysiologi</t>
  </si>
  <si>
    <t>Ordagrant</t>
  </si>
  <si>
    <r>
      <rPr>
        <b/>
        <sz val="9"/>
        <color rgb="FF1B3A5C"/>
        <rFont val="Arial"/>
        <family val="2"/>
      </rPr>
      <t xml:space="preserve">Hjärtklaffsjukdomar · s. 11 · Socialstyrelsens mål: STc8
</t>
    </r>
    <r>
      <rPr>
        <sz val="9"/>
        <color rgb="FF000000"/>
        <rFont val="Arial"/>
        <family val="2"/>
      </rPr>
      <t>• Klassifikation, epidemiologi, orsaker, patofysiologi, symtom, differentialdiagnoser, komplikationer och prognos vid hjärtklaffsjukdom.</t>
    </r>
  </si>
  <si>
    <t>Uppdelat per klaff.</t>
  </si>
  <si>
    <t>Pulmonell hypertension: klassifikation, epidemiologi, orsaker, patofysiologi</t>
  </si>
  <si>
    <t>Bygger på SvKF</t>
  </si>
  <si>
    <r>
      <rPr>
        <b/>
        <sz val="9"/>
        <color rgb="FF1B3A5C"/>
        <rFont val="Arial"/>
        <family val="2"/>
      </rPr>
      <t xml:space="preserve">Hjärtsvikt, kardiomyopatier och pulmonell hypertension · s. 10 · Socialstyrelsens mål: STc8
</t>
    </r>
    <r>
      <rPr>
        <sz val="9"/>
        <color rgb="FF000000"/>
        <rFont val="Arial"/>
        <family val="2"/>
      </rPr>
      <t>• Orsaker, patofysiologi, klinisk bild, differentialdiagnoser, diagnostik, behandling, prognos och uppföljning vid pulmonell hypertension.</t>
    </r>
  </si>
  <si>
    <t>Patofysiologi av kardiomyopatier och ärftliga hjärtsjukdomar: HCM, DCM, amyloidos, non-compaction CMP, sarkoidos, ARVC</t>
  </si>
  <si>
    <t>Bygger på SvKF</t>
  </si>
  <si>
    <r>
      <rPr>
        <b/>
        <sz val="9"/>
        <color rgb="FF1B3A5C"/>
        <rFont val="Arial"/>
        <family val="2"/>
      </rPr>
      <t xml:space="preserve">Hjärtsvikt, kardiomyopatier och pulmonell hypertension · s. 10 · Socialstyrelsens mål: STc8
</t>
    </r>
    <r>
      <rPr>
        <sz val="9"/>
        <color rgb="FF000000"/>
        <rFont val="Arial"/>
        <family val="2"/>
      </rPr>
      <t xml:space="preserve">• Olika typer av kardiomyopatier.
• Hjärtamyloidos.
• Hjärtsarkoidos.
</t>
    </r>
    <r>
      <rPr>
        <b/>
        <sz val="9"/>
        <color rgb="FF1B3A5C"/>
        <rFont val="Arial"/>
        <family val="2"/>
      </rPr>
      <t xml:space="preserve">
Genetik vid hjärtsjukdom · s. 16 · Socialstyrelsens mål: STc10
</t>
    </r>
    <r>
      <rPr>
        <sz val="9"/>
        <color rgb="FF000000"/>
        <rFont val="Arial"/>
        <family val="2"/>
      </rPr>
      <t>• Klassifikation, epidemiologi, patofysiologi, symtom, differentialdiagnoser, undersökningsmetoder, behandling och prognos för ärftliga kardiovaskulära sjukdomar med särskilt fokus på kardiomyopatier, arytmier, aortopatier och dyslipidemier. Exempelvis:
    – Hypertrof kardiomyopati.
    – Dilaterad kardiomyopati.
    – Arytmogen Kardiomyopati (ARVC).</t>
    </r>
  </si>
  <si>
    <t>Patofysiologi av medfödda hjärtfel: ASD*, VSD*, Fallot*, PDA*, CoA*, TGA, Ebsteins anomali, Eisenmenger, pulmonalisstenos, aortastenos, venösa anomalier, enkammarhjärta och Fontan cirkulation, kranskärlsanomalier (medfödda), cyanotiska kongenitala hjärtfel och sekundär erytrocytos, pulmonell hypertension hos individer med kongenital hjärtsjukdom</t>
  </si>
  <si>
    <t>Ordagrant</t>
  </si>
  <si>
    <r>
      <rPr>
        <b/>
        <sz val="9"/>
        <color rgb="FF1B3A5C"/>
        <rFont val="Arial"/>
        <family val="2"/>
      </rPr>
      <t xml:space="preserve">Medfödda hjärtfel hos vuxna (ACHD) · s. 15–16 · Socialstyrelsens mål: STc10
</t>
    </r>
    <r>
      <rPr>
        <sz val="9"/>
        <color rgb="FF000000"/>
        <rFont val="Arial"/>
        <family val="2"/>
      </rPr>
      <t>• Patofysiologi, naturalförlopp, diagnostik, behandling och komplikationer vid:
    – Förmaksseptumdefekter (ASD). *
    – Kammarseptumdefekter (VSD). *
    – Fallots tetrad. *
    – Öppetstående ductus arteriosus. *
    – Coarctation av aorta (CoA). *
• Patofysiologi och basal kunskap om:
    – Transposition av de stora kärlen (TGA).
    – Ebsteins anomali.
    – Eisenmengers syndrom.
    – Pulmonalisstenos.
    – Aortastenos.
    – Venösa anomalier.
    – Funktionellt enkammarhjärta och Fontan cirkulation.
    – Kongenitala malformationer av kranskärlen.
    – Cyanotiska kongenitala hjärtfel och sekundär erytrocytos.
    – Pulmonell hypertension hos individer med kongenital hjärtsjukdom.</t>
    </r>
    <r>
      <rPr>
        <i/>
        <sz val="8"/>
        <color rgb="FF595959"/>
        <rFont val="Arial"/>
        <family val="2"/>
      </rPr>
      <t xml:space="preserve">
* i SvKF = kompetensnivå 4 (i stället för 3).</t>
    </r>
  </si>
  <si>
    <t>Endokardit: epidemiologi, orsaker, riskfaktorer och patofysiologi</t>
  </si>
  <si>
    <t>Ordagrant</t>
  </si>
  <si>
    <r>
      <rPr>
        <b/>
        <sz val="9"/>
        <color rgb="FF1B3A5C"/>
        <rFont val="Arial"/>
        <family val="2"/>
      </rPr>
      <t xml:space="preserve">Infektiös endokardit · s. 14 · Socialstyrelsens mål: STc10
</t>
    </r>
    <r>
      <rPr>
        <sz val="9"/>
        <color rgb="FF000000"/>
        <rFont val="Arial"/>
        <family val="2"/>
      </rPr>
      <t>• Epidemiologi, orsaker, riskfaktorer och patofysiologi vid endokardit.</t>
    </r>
  </si>
  <si>
    <t>Strukturerad utredning vid misstänkt hjärtsvikt, inkl klinisk bedömning av hemodynamiskt status, symtom och differentialdiagnoser vid akut och kronisk hjärtsvikt</t>
  </si>
  <si>
    <t>Ordagrant</t>
  </si>
  <si>
    <r>
      <rPr>
        <b/>
        <sz val="9"/>
        <color rgb="FF1B3A5C"/>
        <rFont val="Arial"/>
        <family val="2"/>
      </rPr>
      <t xml:space="preserve">Hjärtsvikt, kardiomyopatier och pulmonell hypertension · s. 10 · Socialstyrelsens mål: STc8
</t>
    </r>
    <r>
      <rPr>
        <sz val="9"/>
        <color rgb="FF000000"/>
        <rFont val="Arial"/>
        <family val="2"/>
      </rPr>
      <t>• Bedömning av hemodynamiskt status, symtom och differentialdiagnoser vid hjärtsvikt.
• Tillämpa och värdera resultatet av noninvasiva och invasiva diagnostiska metoder.</t>
    </r>
  </si>
  <si>
    <t>Strukturerad utredning vid misstänkt klaffsjukdom, inkl klinisk bedömning av blåsljud, symtom och differentialdiagnoser vid klaffsjukdom</t>
  </si>
  <si>
    <t>Bygger på SvKF</t>
  </si>
  <si>
    <r>
      <rPr>
        <b/>
        <sz val="9"/>
        <color rgb="FF1B3A5C"/>
        <rFont val="Arial"/>
        <family val="2"/>
      </rPr>
      <t xml:space="preserve">Hjärtklaffsjukdomar · s. 11 · Socialstyrelsens mål: STc8
</t>
    </r>
    <r>
      <rPr>
        <sz val="9"/>
        <color rgb="FF000000"/>
        <rFont val="Arial"/>
        <family val="2"/>
      </rPr>
      <t>• Klassifikation, epidemiologi, orsaker, patofysiologi, symtom, differentialdiagnoser, komplikationer och prognos vid hjärtklaffsjukdom.
• Invasiva och noninvasiva diagnostiska metoder.
• Hemodynamisk värdering av klaffsjukdomar.</t>
    </r>
  </si>
  <si>
    <t>Strukturerad utredning vid misstänkt kardiomyopati, inkl korrekt val av diagnostisk metod för följande: HCM, DCM, amyloidos, sarkoidos, ARVC</t>
  </si>
  <si>
    <t>Bygger på SvKF</t>
  </si>
  <si>
    <r>
      <rPr>
        <b/>
        <sz val="9"/>
        <color rgb="FF1B3A5C"/>
        <rFont val="Arial"/>
        <family val="2"/>
      </rPr>
      <t xml:space="preserve">Hjärtsvikt, kardiomyopatier och pulmonell hypertension · s. 10 · Socialstyrelsens mål: STc8
</t>
    </r>
    <r>
      <rPr>
        <sz val="9"/>
        <color rgb="FF000000"/>
        <rFont val="Arial"/>
        <family val="2"/>
      </rPr>
      <t xml:space="preserve">• Olika typer av kardiomyopatier.
• Hjärtamyloidos.
• Hjärtsarkoidos.
• Tillämpa och värdera resultatet av noninvasiva och invasiva diagnostiska metoder.
</t>
    </r>
    <r>
      <rPr>
        <b/>
        <sz val="9"/>
        <color rgb="FF1B3A5C"/>
        <rFont val="Arial"/>
        <family val="2"/>
      </rPr>
      <t xml:space="preserve">
Genetik vid hjärtsjukdom · s. 16 · Socialstyrelsens mål: STc10
</t>
    </r>
    <r>
      <rPr>
        <sz val="9"/>
        <color rgb="FF000000"/>
        <rFont val="Arial"/>
        <family val="2"/>
      </rPr>
      <t>• Klassifikation, epidemiologi, patofysiologi, symtom, differentialdiagnoser, undersökningsmetoder, behandling och prognos för ärftliga kardiovaskulära sjukdomar med särskilt fokus på kardiomyopatier, arytmier, aortopatier och dyslipidemier. Exempelvis:
    – Hypertrof kardiomyopati.
    – Dilaterad kardiomyopati.
    – Arytmogen Kardiomyopati (ARVC).</t>
    </r>
  </si>
  <si>
    <t>Strukturerad utredning, klinisk bild, differentialdiagnoser vid pulmonell hypertension</t>
  </si>
  <si>
    <t>Ordagrant</t>
  </si>
  <si>
    <r>
      <rPr>
        <b/>
        <sz val="9"/>
        <color rgb="FF1B3A5C"/>
        <rFont val="Arial"/>
        <family val="2"/>
      </rPr>
      <t xml:space="preserve">Hjärtsvikt, kardiomyopatier och pulmonell hypertension · s. 10 · Socialstyrelsens mål: STc8
</t>
    </r>
    <r>
      <rPr>
        <sz val="9"/>
        <color rgb="FF000000"/>
        <rFont val="Arial"/>
        <family val="2"/>
      </rPr>
      <t>• Orsaker, patofysiologi, klinisk bild, differentialdiagnoser, diagnostik, behandling, prognos och uppföljning vid pulmonell hypertension.</t>
    </r>
  </si>
  <si>
    <t>Strukturerad utredning vid misstänkt infektiös endokardit, inkl klinisk bild, typisk mikrobiologi, bilddiagnostik samt kunna redogöra styrkor och begränsningar med respektive metod</t>
  </si>
  <si>
    <t>Ordagrant</t>
  </si>
  <si>
    <r>
      <rPr>
        <b/>
        <sz val="9"/>
        <color rgb="FF1B3A5C"/>
        <rFont val="Arial"/>
        <family val="2"/>
      </rPr>
      <t xml:space="preserve">Infektiös endokardit · s. 14 · Socialstyrelsens mål: STc10
</t>
    </r>
    <r>
      <rPr>
        <sz val="9"/>
        <color rgb="FF000000"/>
        <rFont val="Arial"/>
        <family val="2"/>
      </rPr>
      <t>• Symtomatologi och komplikationer vid endokardit.
• Val av diagnostiska metoder och bedömning av resultat utifrån vald diagnostisk metod samt styrkor och begränsningar med dessa metoder.</t>
    </r>
  </si>
  <si>
    <t>Exemplen i parentes är tillagda.</t>
  </si>
  <si>
    <t>Vid hjärtsvikt kunna identifiera och handlägga samsjuklighet, inkl ischemisk hjärtsjukdom, arytmier, CKD, DM, KOL, OSAS, obesitas mm.</t>
  </si>
  <si>
    <t>Ordagrant</t>
  </si>
  <si>
    <r>
      <rPr>
        <b/>
        <sz val="9"/>
        <color rgb="FF1B3A5C"/>
        <rFont val="Arial"/>
        <family val="2"/>
      </rPr>
      <t xml:space="preserve">Hjärtsvikt, kardiomyopatier och pulmonell hypertension · s. 10 · Socialstyrelsens mål: STc8
</t>
    </r>
    <r>
      <rPr>
        <sz val="9"/>
        <color rgb="FF000000"/>
        <rFont val="Arial"/>
        <family val="2"/>
      </rPr>
      <t>• Samsjuklighet vid hjärtsvikt.</t>
    </r>
  </si>
  <si>
    <t>Exemplen är tillagda.</t>
  </si>
  <si>
    <t>Identifiera patienter som inte gagnas av vidare utredning och initiera palliativ behandling vid avancerad hjärtsvikt</t>
  </si>
  <si>
    <t>Bygger på SvKF</t>
  </si>
  <si>
    <r>
      <rPr>
        <b/>
        <sz val="9"/>
        <color rgb="FF1B3A5C"/>
        <rFont val="Arial"/>
        <family val="2"/>
      </rPr>
      <t xml:space="preserve">Hjärtsvikt, kardiomyopatier och pulmonell hypertension · s. 10 · Socialstyrelsens mål: STc8
</t>
    </r>
    <r>
      <rPr>
        <sz val="9"/>
        <color rgb="FF000000"/>
        <rFont val="Arial"/>
        <family val="2"/>
      </rPr>
      <t xml:space="preserve">• Palliativ behandling i livets slutskede vid hjärtsjukdom.
</t>
    </r>
    <r>
      <rPr>
        <b/>
        <sz val="9"/>
        <color rgb="FF1B3A5C"/>
        <rFont val="Arial"/>
        <family val="2"/>
      </rPr>
      <t xml:space="preserve">
Definition av kompetensområdet · s. 3
</t>
    </r>
    <r>
      <rPr>
        <sz val="9"/>
        <color rgb="FF000000"/>
        <rFont val="Arial"/>
        <family val="2"/>
      </rPr>
      <t>• För specialistkompetens i kardiologi krävs att kunskaper och färdigheter uppnås enligt den gemensamma kunskapsbasen (“Common trunk”) för de internmedicinska basspecialiteterna. I denna gemensamma kunskapsbas ingår att:
    – Självständigt kunna besluta om och initiera palliativ vård.</t>
    </r>
  </si>
  <si>
    <t>Bedöma när ACHD patient ska remitteras till specialistklinik, samt identifiera genetisk risk vid ärftliga hjärtsjukdomar och veta när dessa ska remitteras till klinisk genetik för vidare utredning</t>
  </si>
  <si>
    <t>Ordagrant</t>
  </si>
  <si>
    <r>
      <rPr>
        <b/>
        <sz val="9"/>
        <color rgb="FF1B3A5C"/>
        <rFont val="Arial"/>
        <family val="2"/>
      </rPr>
      <t xml:space="preserve">Medfödda hjärtfel hos vuxna (ACHD) · s. 15 · Socialstyrelsens mål: STc10
</t>
    </r>
    <r>
      <rPr>
        <sz val="9"/>
        <color rgb="FF000000"/>
        <rFont val="Arial"/>
        <family val="2"/>
      </rPr>
      <t xml:space="preserve">• Bedöma när en patient ska remitteras till specialistcentra eller när ACHD-specialist ska konsulteras. *
</t>
    </r>
    <r>
      <rPr>
        <b/>
        <sz val="9"/>
        <color rgb="FF1B3A5C"/>
        <rFont val="Arial"/>
        <family val="2"/>
      </rPr>
      <t xml:space="preserve">
Genetik vid hjärtsjukdom · s. 17 · Socialstyrelsens mål: STc10
</t>
    </r>
    <r>
      <rPr>
        <sz val="9"/>
        <color rgb="FF000000"/>
        <rFont val="Arial"/>
        <family val="2"/>
      </rPr>
      <t>• Identifiera patienter som bör remitteras till klinisk genetisk enhet för diagnostik och specialiserad genetisk vägledning.</t>
    </r>
    <r>
      <rPr>
        <i/>
        <sz val="8"/>
        <color rgb="FF595959"/>
        <rFont val="Arial"/>
        <family val="2"/>
      </rPr>
      <t xml:space="preserve">
* i SvKF = kompetensnivå 4 (i stället för 3).</t>
    </r>
  </si>
  <si>
    <t>Risker med invasiv behandling vid endokardit (deviceextraktion och kirurgi) samt indikationer för kontakt med specialistcentrum</t>
  </si>
  <si>
    <t>Ordagrant</t>
  </si>
  <si>
    <r>
      <rPr>
        <b/>
        <sz val="9"/>
        <color rgb="FF1B3A5C"/>
        <rFont val="Arial"/>
        <family val="2"/>
      </rPr>
      <t xml:space="preserve">Infektiös endokardit · s. 14 · Socialstyrelsens mål: STc10
</t>
    </r>
    <r>
      <rPr>
        <sz val="9"/>
        <color rgb="FF000000"/>
        <rFont val="Arial"/>
        <family val="2"/>
      </rPr>
      <t>• Antibiotikaterapi samt indikationer, tidsperspektiv och risker med invasiv behandling (kirurgi, device-extraktion).
• Indikationer för kontakt med specialiserat centrum.</t>
    </r>
  </si>
  <si>
    <t>Kunna identifiera, veta indikationer och initial utredning för en hjärttransplantationskandidat, samt vet när man ska kontakta specialistcentra</t>
  </si>
  <si>
    <t>Ordagrant</t>
  </si>
  <si>
    <r>
      <rPr>
        <b/>
        <sz val="9"/>
        <color rgb="FF1B3A5C"/>
        <rFont val="Arial"/>
        <family val="2"/>
      </rPr>
      <t xml:space="preserve">Hjärtsvikt, kardiomyopatier och pulmonell hypertension · s. 10 · Socialstyrelsens mål: STc8
</t>
    </r>
    <r>
      <rPr>
        <sz val="9"/>
        <color rgb="FF000000"/>
        <rFont val="Arial"/>
        <family val="2"/>
      </rPr>
      <t>• Indikationer och initial utredning inför hjärttransplantation.</t>
    </r>
  </si>
  <si>
    <t>Läkemedelsbehandling vid akut hjärtsvikt</t>
  </si>
  <si>
    <t>Ordagrant</t>
  </si>
  <si>
    <r>
      <rPr>
        <b/>
        <sz val="9"/>
        <color rgb="FF1B3A5C"/>
        <rFont val="Arial"/>
        <family val="2"/>
      </rPr>
      <t xml:space="preserve">Hjärtsvikt, kardiomyopatier och pulmonell hypertension · s. 10 · Socialstyrelsens mål: STc8
</t>
    </r>
    <r>
      <rPr>
        <sz val="9"/>
        <color rgb="FF000000"/>
        <rFont val="Arial"/>
        <family val="2"/>
      </rPr>
      <t>• Läkemedelsbehandling vid akut och kronisk hjärtsvikt.</t>
    </r>
  </si>
  <si>
    <t>Läkemedelsbehandling vid kronisk hjärtsvikt</t>
  </si>
  <si>
    <t>Ordagrant</t>
  </si>
  <si>
    <r>
      <rPr>
        <b/>
        <sz val="9"/>
        <color rgb="FF1B3A5C"/>
        <rFont val="Arial"/>
        <family val="2"/>
      </rPr>
      <t xml:space="preserve">Hjärtsvikt, kardiomyopatier och pulmonell hypertension · s. 10 · Socialstyrelsens mål: STc8
</t>
    </r>
    <r>
      <rPr>
        <sz val="9"/>
        <color rgb="FF000000"/>
        <rFont val="Arial"/>
        <family val="2"/>
      </rPr>
      <t>• Läkemedelsbehandling vid akut och kronisk hjärtsvikt.</t>
    </r>
  </si>
  <si>
    <t>Indikationer för CRT, ICD, klaff- och kranskärlsinterventioninterventioner, ablation, och mekaniskt cirkulationsstöd vid hjärtsvikt</t>
  </si>
  <si>
    <t>Ordagrant</t>
  </si>
  <si>
    <r>
      <rPr>
        <b/>
        <sz val="9"/>
        <color rgb="FF1B3A5C"/>
        <rFont val="Arial"/>
        <family val="2"/>
      </rPr>
      <t xml:space="preserve">Hjärtsvikt, kardiomyopatier och pulmonell hypertension · s. 10 · Socialstyrelsens mål: STc8
</t>
    </r>
    <r>
      <rPr>
        <sz val="9"/>
        <color rgb="FF000000"/>
        <rFont val="Arial"/>
        <family val="2"/>
      </rPr>
      <t>• Indikationer för invasiva och kirurgiska behandlingsmetoder vid hjärtsvikt inkluderande CRT/ICD, ablation, klaff- och kranskärlsintervention samt mekaniskt cirkulationsstöd.</t>
    </r>
  </si>
  <si>
    <t>Medicinsk behandling samt indikationer för kirurgi vid endokardit</t>
  </si>
  <si>
    <t>Ordagrant</t>
  </si>
  <si>
    <r>
      <rPr>
        <b/>
        <sz val="9"/>
        <color rgb="FF1B3A5C"/>
        <rFont val="Arial"/>
        <family val="2"/>
      </rPr>
      <t xml:space="preserve">Infektiös endokardit · s. 14 · Socialstyrelsens mål: STc10
</t>
    </r>
    <r>
      <rPr>
        <sz val="9"/>
        <color rgb="FF000000"/>
        <rFont val="Arial"/>
        <family val="2"/>
      </rPr>
      <t>• Antibiotikaterapi samt indikationer, tidsperspektiv och risker med invasiv behandling (kirurgi, device-extraktion).</t>
    </r>
  </si>
  <si>
    <t>Postoperativ vård och initial handläggning av komplikationer efter klaffintervention</t>
  </si>
  <si>
    <t>Ordagrant</t>
  </si>
  <si>
    <r>
      <rPr>
        <b/>
        <sz val="9"/>
        <color rgb="FF1B3A5C"/>
        <rFont val="Arial"/>
        <family val="2"/>
      </rPr>
      <t xml:space="preserve">Hjärtklaffsjukdomar · s. 11 · Socialstyrelsens mål: STc8
</t>
    </r>
    <r>
      <rPr>
        <sz val="9"/>
        <color rgb="FF000000"/>
        <rFont val="Arial"/>
        <family val="2"/>
      </rPr>
      <t>• Postoperativ vård och initial handläggning av komplikationer, samt uppföljning efter klaffkirurgi och perkutan intervention.
• Handläggning av patienter med klaffprotesdysfunktion/-komplikation.</t>
    </r>
  </si>
  <si>
    <t>Behandling vid pulmonell hypertension</t>
  </si>
  <si>
    <t>Ordagrant</t>
  </si>
  <si>
    <r>
      <rPr>
        <b/>
        <sz val="9"/>
        <color rgb="FF1B3A5C"/>
        <rFont val="Arial"/>
        <family val="2"/>
      </rPr>
      <t xml:space="preserve">Hjärtsvikt, kardiomyopatier och pulmonell hypertension · s. 10 · Socialstyrelsens mål: STc8
</t>
    </r>
    <r>
      <rPr>
        <sz val="9"/>
        <color rgb="FF000000"/>
        <rFont val="Arial"/>
        <family val="2"/>
      </rPr>
      <t>• Orsaker, patofysiologi, klinisk bild, differentialdiagnoser, diagnostik, behandling, prognos och uppföljning vid pulmonell hypertension.</t>
    </r>
  </si>
  <si>
    <t>Behandling vid olika typer av kardiomyopatier (ffa HCM, DCM, amyloidos, sarkoidos, ARVC)</t>
  </si>
  <si>
    <t>Ordagrant</t>
  </si>
  <si>
    <r>
      <rPr>
        <b/>
        <sz val="9"/>
        <color rgb="FF1B3A5C"/>
        <rFont val="Arial"/>
        <family val="2"/>
      </rPr>
      <t xml:space="preserve">Hjärtsvikt, kardiomyopatier och pulmonell hypertension · s. 10 · Socialstyrelsens mål: STc8
</t>
    </r>
    <r>
      <rPr>
        <sz val="9"/>
        <color rgb="FF000000"/>
        <rFont val="Arial"/>
        <family val="2"/>
      </rPr>
      <t xml:space="preserve">• Olika typer av kardiomyopatier.
• Hjärtamyloidos.
• Hjärtsarkoidos.
</t>
    </r>
    <r>
      <rPr>
        <b/>
        <sz val="9"/>
        <color rgb="FF1B3A5C"/>
        <rFont val="Arial"/>
        <family val="2"/>
      </rPr>
      <t xml:space="preserve">
Genetik vid hjärtsjukdom · s. 16 · Socialstyrelsens mål: STc10
</t>
    </r>
    <r>
      <rPr>
        <sz val="9"/>
        <color rgb="FF000000"/>
        <rFont val="Arial"/>
        <family val="2"/>
      </rPr>
      <t>• Klassifikation, epidemiologi, patofysiologi, symtom, differentialdiagnoser, undersökningsmetoder, behandling och prognos för ärftliga kardiovaskulära sjukdomar med särskilt fokus på kardiomyopatier, arytmier, aortopatier och dyslipidemier. Exempelvis:
    – Hypertrof kardiomyopati.
    – Dilaterad kardiomyopati.
    – Arytmogen Kardiomyopati (ARVC).</t>
    </r>
  </si>
  <si>
    <t>Exemplen i parentes är tillagda.</t>
  </si>
  <si>
    <t>Behandling efter hjärttransplantation.</t>
  </si>
  <si>
    <t>Ordagrant</t>
  </si>
  <si>
    <r>
      <rPr>
        <b/>
        <sz val="9"/>
        <color rgb="FF1B3A5C"/>
        <rFont val="Arial"/>
        <family val="2"/>
      </rPr>
      <t xml:space="preserve">Hjärtsvikt, kardiomyopatier och pulmonell hypertension · s. 10 · Socialstyrelsens mål: STc8
</t>
    </r>
    <r>
      <rPr>
        <sz val="9"/>
        <color rgb="FF000000"/>
        <rFont val="Arial"/>
        <family val="2"/>
      </rPr>
      <t>• Behandling och uppföljning efter hjärttransplantation.</t>
    </r>
  </si>
  <si>
    <t>Uppföljning och prognosbedömning vid hjärtsvikt inkl kardiomyopatier, ACHD mm.</t>
  </si>
  <si>
    <t>Bygger på SvKF</t>
  </si>
  <si>
    <r>
      <rPr>
        <b/>
        <sz val="9"/>
        <color rgb="FF1B3A5C"/>
        <rFont val="Arial"/>
        <family val="2"/>
      </rPr>
      <t xml:space="preserve">Hjärtsvikt, kardiomyopatier och pulmonell hypertension · s. 10 · Socialstyrelsens mål: STc8
</t>
    </r>
    <r>
      <rPr>
        <sz val="9"/>
        <color rgb="FF000000"/>
        <rFont val="Arial"/>
        <family val="2"/>
      </rPr>
      <t xml:space="preserve">• Definition, klassifikation, epidemiologi, riskfaktorer, etiologier, patofysiologi och prognos vid akut hjärtsvikt och kronisk hjärtsvikt i relation till grad av kammardysfunktion.
• Metoder för funktions- och prognosbedömning.
• Interprofessionellt samarbete och hjärtsviktsmottagning.
</t>
    </r>
    <r>
      <rPr>
        <b/>
        <sz val="9"/>
        <color rgb="FF1B3A5C"/>
        <rFont val="Arial"/>
        <family val="2"/>
      </rPr>
      <t xml:space="preserve">
Medfödda hjärtfel hos vuxna (ACHD) · s. 16 · Socialstyrelsens mål: STc10
</t>
    </r>
    <r>
      <rPr>
        <sz val="9"/>
        <color rgb="FF000000"/>
        <rFont val="Arial"/>
        <family val="2"/>
      </rPr>
      <t>• Uppföljningsbehov och patientutbildning.</t>
    </r>
  </si>
  <si>
    <t>Uppföljning och prognosbedömning av patienter med klaffsjukdom, inkl efter klaffkirurgi/intervention</t>
  </si>
  <si>
    <t>Ordagrant</t>
  </si>
  <si>
    <r>
      <rPr>
        <b/>
        <sz val="9"/>
        <color rgb="FF1B3A5C"/>
        <rFont val="Arial"/>
        <family val="2"/>
      </rPr>
      <t xml:space="preserve">Hjärtklaffsjukdomar · s. 11 · Socialstyrelsens mål: STc8
</t>
    </r>
    <r>
      <rPr>
        <sz val="9"/>
        <color rgb="FF000000"/>
        <rFont val="Arial"/>
        <family val="2"/>
      </rPr>
      <t>• Postoperativ vård och initial handläggning av komplikationer, samt uppföljning efter klaffkirurgi och perkutan intervention.
• Uppföljning av patienter med klaffsjukdomar.</t>
    </r>
  </si>
  <si>
    <t>Kunna riktlinjer för antikoagulation och endokarditprofylax (klaff, ACHD)</t>
  </si>
  <si>
    <t>Ordagrant</t>
  </si>
  <si>
    <r>
      <rPr>
        <b/>
        <sz val="9"/>
        <color rgb="FF1B3A5C"/>
        <rFont val="Arial"/>
        <family val="2"/>
      </rPr>
      <t xml:space="preserve">Hjärtklaffsjukdomar · s. 11 · Socialstyrelsens mål: STc8
</t>
    </r>
    <r>
      <rPr>
        <sz val="9"/>
        <color rgb="FF000000"/>
        <rFont val="Arial"/>
        <family val="2"/>
      </rPr>
      <t xml:space="preserve">• Riktlinjer för antikoagulation och endokarditprofylax.
</t>
    </r>
    <r>
      <rPr>
        <b/>
        <sz val="9"/>
        <color rgb="FF1B3A5C"/>
        <rFont val="Arial"/>
        <family val="2"/>
      </rPr>
      <t xml:space="preserve">
Medfödda hjärtfel hos vuxna (ACHD) · s. 16 · Socialstyrelsens mål: STc10
</t>
    </r>
    <r>
      <rPr>
        <sz val="9"/>
        <color rgb="FF000000"/>
        <rFont val="Arial"/>
        <family val="2"/>
      </rPr>
      <t>• Tillämpa riktlinjer för antikoagulation och endokarditprofylax. *</t>
    </r>
    <r>
      <rPr>
        <i/>
        <sz val="8"/>
        <color rgb="FF595959"/>
        <rFont val="Arial"/>
        <family val="2"/>
      </rPr>
      <t xml:space="preserve">
* i SvKF = kompetensnivå 4 (i stället för 3).</t>
    </r>
  </si>
  <si>
    <t>Rådgivning om levnadsvanor (träning, kost, alkohol, rökning) vid hjärtsvikt, klaffsjukdom, ACHD- och graviditetsrelaterade sjukdomar</t>
  </si>
  <si>
    <t>Ordagrant</t>
  </si>
  <si>
    <r>
      <rPr>
        <b/>
        <sz val="9"/>
        <color rgb="FF1B3A5C"/>
        <rFont val="Arial"/>
        <family val="2"/>
      </rPr>
      <t xml:space="preserve">Hjärtsvikt, kardiomyopatier och pulmonell hypertension · s. 10 · Socialstyrelsens mål: STc8
</t>
    </r>
    <r>
      <rPr>
        <sz val="9"/>
        <color rgb="FF000000"/>
        <rFont val="Arial"/>
        <family val="2"/>
      </rPr>
      <t xml:space="preserve">• Betydelse av och rådgivning kring levnadsvanor inklusive fysisk aktivitet.
</t>
    </r>
    <r>
      <rPr>
        <b/>
        <sz val="9"/>
        <color rgb="FF1B3A5C"/>
        <rFont val="Arial"/>
        <family val="2"/>
      </rPr>
      <t xml:space="preserve">
Preventiv kardiologi · s. 18 · Socialstyrelsens mål: STc12
</t>
    </r>
    <r>
      <rPr>
        <sz val="9"/>
        <color rgb="FF000000"/>
        <rFont val="Arial"/>
        <family val="2"/>
      </rPr>
      <t>• Sjukdomsförebyggande metoder och rådgivning avseende ohälsosamma levnadsvanor: rökning, fysisk inaktivitet, ogynnsamma matvanor, alkoholkonsumtion.</t>
    </r>
  </si>
  <si>
    <t>Rådgivning kring familjeplanering (genetiska hjärtsjukdomar)</t>
  </si>
  <si>
    <t>Ordagrant</t>
  </si>
  <si>
    <r>
      <rPr>
        <b/>
        <sz val="9"/>
        <color rgb="FF1B3A5C"/>
        <rFont val="Arial"/>
        <family val="2"/>
      </rPr>
      <t xml:space="preserve">Genetik vid hjärtsjukdom · s. 17 · Socialstyrelsens mål: STc10
</t>
    </r>
    <r>
      <rPr>
        <sz val="9"/>
        <color rgb="FF000000"/>
        <rFont val="Arial"/>
        <family val="2"/>
      </rPr>
      <t xml:space="preserve">• Rådgivning kring familjeplanering.
</t>
    </r>
    <r>
      <rPr>
        <b/>
        <sz val="9"/>
        <color rgb="FF1B3A5C"/>
        <rFont val="Arial"/>
        <family val="2"/>
      </rPr>
      <t xml:space="preserve">
Graviditet och hjärtsjukdom · s. 17 · Socialstyrelsens mål: STc10
</t>
    </r>
    <r>
      <rPr>
        <sz val="9"/>
        <color rgb="FF000000"/>
        <rFont val="Arial"/>
        <family val="2"/>
      </rPr>
      <t xml:space="preserve">• Kardiella kontraindikationer för graviditet och indikationer för genetisk rådgivning vid ärftliga sjukdomar.
</t>
    </r>
    <r>
      <rPr>
        <b/>
        <sz val="9"/>
        <color rgb="FF1B3A5C"/>
        <rFont val="Arial"/>
        <family val="2"/>
      </rPr>
      <t xml:space="preserve">
Medfödda hjärtfel hos vuxna (ACHD) · s. 16 · Socialstyrelsens mål: STc10
</t>
    </r>
    <r>
      <rPr>
        <sz val="9"/>
        <color rgb="FF000000"/>
        <rFont val="Arial"/>
        <family val="2"/>
      </rPr>
      <t>• Genetisk rådgivning och prenatal diagnostik samt de specifika etiska problem som föreligger.</t>
    </r>
  </si>
  <si>
    <t>HJÄRTSVIKT &amp; KLAFF  –  praktiska färdigheter (3 st: 3 ordagrant)</t>
  </si>
  <si>
    <t>Högerkateterisering</t>
  </si>
  <si>
    <t>Ordagrant</t>
  </si>
  <si>
    <r>
      <rPr>
        <b/>
        <sz val="9"/>
        <color rgb="FF1B3A5C"/>
        <rFont val="Arial"/>
        <family val="2"/>
      </rPr>
      <t xml:space="preserve">Invasiv bild- och funktionsdiagnostik · s. 20–21 · Socialstyrelsens mål: STc7, STc8
</t>
    </r>
    <r>
      <rPr>
        <sz val="9"/>
        <color rgb="FF000000"/>
        <rFont val="Arial"/>
        <family val="2"/>
      </rPr>
      <t xml:space="preserve">• Tolka data från högerkammarkateterisering och koronarangiografi.
• Delaktighet vid genomförandet av, och assisterande vid koronarangiografi samt högerkammarkateterisering.
</t>
    </r>
    <r>
      <rPr>
        <b/>
        <sz val="9"/>
        <color rgb="FF1B3A5C"/>
        <rFont val="Arial"/>
        <family val="2"/>
      </rPr>
      <t xml:space="preserve">
Rekommendationslista – kompetensnivåer för färdigheter · s. 23
</t>
    </r>
    <r>
      <rPr>
        <sz val="9"/>
        <color rgb="FF000000"/>
        <rFont val="Arial"/>
        <family val="2"/>
      </rPr>
      <t xml:space="preserve">• Högerkammarkateterisering, delaktighet vid genomförande — nivå Sverige: 2, ESC: 2
• Högerkammarkateterisering, tolkning — nivå Sverige: 4, ESC: 4
</t>
    </r>
    <r>
      <rPr>
        <b/>
        <sz val="9"/>
        <color rgb="FF1B3A5C"/>
        <rFont val="Arial"/>
        <family val="2"/>
      </rPr>
      <t xml:space="preserve">
Plan för genomförande av specialistutbildningen · s. 5
</t>
    </r>
    <r>
      <rPr>
        <sz val="9"/>
        <color rgb="FF000000"/>
        <rFont val="Arial"/>
        <family val="2"/>
      </rPr>
      <t>• För att uppfylla målen rekommenderar Svenska Kardiologföreningen att man tjänstgör vid enhet vars verksamhet innefattar:
    – Hjärtsviktsvård ≥ 6 månader. Denna tjänstgöring bör inkludera minst:
        – Enhet med avancerad hjärtsviktsvård (inkl hjärtkateterisering, LVAD, transplantationsvård, PAH) ≥ 1 månad.</t>
    </r>
  </si>
  <si>
    <t>Basal EKO och tolkning samt tillämpning av resultat</t>
  </si>
  <si>
    <t>Ordagrant</t>
  </si>
  <si>
    <r>
      <rPr>
        <b/>
        <sz val="9"/>
        <color rgb="FF1B3A5C"/>
        <rFont val="Arial"/>
        <family val="2"/>
      </rPr>
      <t xml:space="preserve">Noninvasiv bild- och funktionsdiagnostik › Utföra och tolka · s. 20 · Socialstyrelsens mål: STc7
</t>
    </r>
    <r>
      <rPr>
        <sz val="9"/>
        <color rgb="FF000000"/>
        <rFont val="Arial"/>
        <family val="2"/>
      </rPr>
      <t xml:space="preserve">• Transthorakal ekokardiografi (TTE).
</t>
    </r>
    <r>
      <rPr>
        <b/>
        <sz val="9"/>
        <color rgb="FF1B3A5C"/>
        <rFont val="Arial"/>
        <family val="2"/>
      </rPr>
      <t xml:space="preserve">
Rekommendationslista – kompetensnivåer för färdigheter · s. 23
</t>
    </r>
    <r>
      <rPr>
        <sz val="9"/>
        <color rgb="FF000000"/>
        <rFont val="Arial"/>
        <family val="2"/>
      </rPr>
      <t xml:space="preserve">• Transthorakal basal ekokardiografi med doppler (TTE) — nivå Sverige: 5, ESC: 5
</t>
    </r>
    <r>
      <rPr>
        <b/>
        <sz val="9"/>
        <color rgb="FF1B3A5C"/>
        <rFont val="Arial"/>
        <family val="2"/>
      </rPr>
      <t xml:space="preserve">
Hjärtsvikt, kardiomyopatier och pulmonell hypertension · s. 10 · Socialstyrelsens mål: STc8
</t>
    </r>
    <r>
      <rPr>
        <sz val="9"/>
        <color rgb="FF000000"/>
        <rFont val="Arial"/>
        <family val="2"/>
      </rPr>
      <t>• Tillämpa och värdera resultatet av noninvasiva och invasiva diagnostiska metoder.</t>
    </r>
  </si>
  <si>
    <t>NIV och CPAP vid hjärtsvikt</t>
  </si>
  <si>
    <t>Ordagrant</t>
  </si>
  <si>
    <r>
      <rPr>
        <b/>
        <sz val="9"/>
        <color rgb="FF1B3A5C"/>
        <rFont val="Arial"/>
        <family val="2"/>
      </rPr>
      <t xml:space="preserve">Hjärtsvikt, kardiomyopatier och pulmonell hypertension · s. 10 · Socialstyrelsens mål: STc8
</t>
    </r>
    <r>
      <rPr>
        <sz val="9"/>
        <color rgb="FF000000"/>
        <rFont val="Arial"/>
        <family val="2"/>
      </rPr>
      <t xml:space="preserve">• Handläggning av akut hjärtsvikt och lungödem inklusive noninvasiv ventilation.
</t>
    </r>
    <r>
      <rPr>
        <b/>
        <sz val="9"/>
        <color rgb="FF1B3A5C"/>
        <rFont val="Arial"/>
        <family val="2"/>
      </rPr>
      <t xml:space="preserve">
Rekommendationslista – kompetensnivåer för färdigheter · s. 23
</t>
    </r>
    <r>
      <rPr>
        <sz val="9"/>
        <color rgb="FF000000"/>
        <rFont val="Arial"/>
        <family val="2"/>
      </rPr>
      <t>• Non-invasiv ventilatorbehandling med CPAP — nivå Sverige: 5, ESC: N/A</t>
    </r>
  </si>
  <si>
    <t>ARYTMI  –  lärandemål (42 st: 16 ordagrant · 26 bygger på SvKF)</t>
  </si>
  <si>
    <t>Supraventrikulära takyarytmier (förmaksflimmer/fladder, FAT, MAT, AVNRT, AVRT, junctionell takykardi): klassifikation, epidemiologi, orsaker, och patofysiologi</t>
  </si>
  <si>
    <t>Ordagrant</t>
  </si>
  <si>
    <r>
      <rPr>
        <b/>
        <sz val="9"/>
        <color rgb="FF1B3A5C"/>
        <rFont val="Arial"/>
        <family val="2"/>
      </rPr>
      <t xml:space="preserve">Arytmier och synkope · s. 11 · Socialstyrelsens mål: STc6, STc9
</t>
    </r>
    <r>
      <rPr>
        <sz val="9"/>
        <color rgb="FF000000"/>
        <rFont val="Arial"/>
        <family val="2"/>
      </rPr>
      <t xml:space="preserve">• Klassifikation, epidemiologi, orsaker, patofysiologi, klinisk bild, differentialdiagnoser, diagnostik, behandling och prognos vid supraventrikulära och ventrikulära takyarytmier, bradykardier samt synkope.
</t>
    </r>
    <r>
      <rPr>
        <b/>
        <sz val="9"/>
        <color rgb="FF1B3A5C"/>
        <rFont val="Arial"/>
        <family val="2"/>
      </rPr>
      <t xml:space="preserve">
Arytmier och synkope › Förmaksflimmer/Förmaksfladder · s. 12 · Socialstyrelsens mål: STc6, STc9
</t>
    </r>
    <r>
      <rPr>
        <sz val="9"/>
        <color rgb="FF000000"/>
        <rFont val="Arial"/>
        <family val="2"/>
      </rPr>
      <t>• Epidemiologi, patofysiologi, symtomatologi, prognos och klassifikation.</t>
    </r>
  </si>
  <si>
    <t>Exemplen i parentes är tillagda.</t>
  </si>
  <si>
    <t>Ventrikulära takyarytmier (monomorf/polymorf VT, idiopatisk VT (RVOT/LVOT/fasikulär) TdP, VF, AIVR): klassifikation, epidemiologi, orsaker, och patofysiologi</t>
  </si>
  <si>
    <t>Ordagrant</t>
  </si>
  <si>
    <r>
      <rPr>
        <b/>
        <sz val="9"/>
        <color rgb="FF1B3A5C"/>
        <rFont val="Arial"/>
        <family val="2"/>
      </rPr>
      <t xml:space="preserve">Arytmier och synkope · s. 11 · Socialstyrelsens mål: STc6, STc9
</t>
    </r>
    <r>
      <rPr>
        <sz val="9"/>
        <color rgb="FF000000"/>
        <rFont val="Arial"/>
        <family val="2"/>
      </rPr>
      <t>• Klassifikation, epidemiologi, orsaker, patofysiologi, klinisk bild, differentialdiagnoser, diagnostik, behandling och prognos vid supraventrikulära och ventrikulära takyarytmier, bradykardier samt synkope.</t>
    </r>
  </si>
  <si>
    <t>Exemplen i parentes är tillagda.</t>
  </si>
  <si>
    <t>Bradyarytmier (sinusknutedysfunktion, AV-block): klassifikation, epidemiologi, orsaker, och patofysiologi.</t>
  </si>
  <si>
    <t>Ordagrant</t>
  </si>
  <si>
    <r>
      <rPr>
        <b/>
        <sz val="9"/>
        <color rgb="FF1B3A5C"/>
        <rFont val="Arial"/>
        <family val="2"/>
      </rPr>
      <t xml:space="preserve">Arytmier och synkope · s. 11 · Socialstyrelsens mål: STc6, STc9
</t>
    </r>
    <r>
      <rPr>
        <sz val="9"/>
        <color rgb="FF000000"/>
        <rFont val="Arial"/>
        <family val="2"/>
      </rPr>
      <t>• Klassifikation, epidemiologi, orsaker, patofysiologi, klinisk bild, differentialdiagnoser, diagnostik, behandling och prognos vid supraventrikulära och ventrikulära takyarytmier, bradykardier samt synkope.</t>
    </r>
  </si>
  <si>
    <t>Exemplen i parentes är tillagda.</t>
  </si>
  <si>
    <t>Synkope (reflexmedierad (vasovagal, situationell, carotissinussyndrom), ortostatisk, kardiell (arytmi, strukturell)): klassifikation, epidemiologi, orsaker, och patofysiologi.</t>
  </si>
  <si>
    <t>Ordagrant</t>
  </si>
  <si>
    <r>
      <rPr>
        <b/>
        <sz val="9"/>
        <color rgb="FF1B3A5C"/>
        <rFont val="Arial"/>
        <family val="2"/>
      </rPr>
      <t xml:space="preserve">Arytmier och synkope · s. 11 · Socialstyrelsens mål: STc6, STc9
</t>
    </r>
    <r>
      <rPr>
        <sz val="9"/>
        <color rgb="FF000000"/>
        <rFont val="Arial"/>
        <family val="2"/>
      </rPr>
      <t>• Klassifikation, epidemiologi, orsaker, patofysiologi, klinisk bild, differentialdiagnoser, diagnostik, behandling och prognos vid supraventrikulära och ventrikulära takyarytmier, bradykardier samt synkope.</t>
    </r>
  </si>
  <si>
    <t>Exemplen i parentes är tillagda.</t>
  </si>
  <si>
    <t>Patofysiologi av arytmimekanismer och fysiologi av hjärtats retledningssystem</t>
  </si>
  <si>
    <t>Bygger på SvKF</t>
  </si>
  <si>
    <r>
      <rPr>
        <b/>
        <sz val="9"/>
        <color rgb="FF1B3A5C"/>
        <rFont val="Arial"/>
        <family val="2"/>
      </rPr>
      <t xml:space="preserve">Arytmier och synkope · s. 11 · Socialstyrelsens mål: STc6, STc9
</t>
    </r>
    <r>
      <rPr>
        <sz val="9"/>
        <color rgb="FF000000"/>
        <rFont val="Arial"/>
        <family val="2"/>
      </rPr>
      <t>• Hjärtats elektrofysiologi och anatomi.</t>
    </r>
  </si>
  <si>
    <t>Antiarytmika: Vaughan-Williams-klassifikation, verkningsmekanismer, farmakokinetik, interaktioner (klass I–IV + digoxin, adenosin, ivabradin)</t>
  </si>
  <si>
    <t>Bygger på SvKF</t>
  </si>
  <si>
    <r>
      <rPr>
        <b/>
        <sz val="9"/>
        <color rgb="FF1B3A5C"/>
        <rFont val="Arial"/>
        <family val="2"/>
      </rPr>
      <t xml:space="preserve">Klinisk farmakologi · s. 19 · Socialstyrelsens mål: ingår i de flesta c-målen
</t>
    </r>
    <r>
      <rPr>
        <sz val="9"/>
        <color rgb="FF000000"/>
        <rFont val="Arial"/>
        <family val="2"/>
      </rPr>
      <t>• Indikationer/kontraindikationer, farmakokinetik, verkningsmekanismer, vanliga och/eller allvarliga interaktioner, biverkningar och toxiska effekter för kardiovaskulära läkemedel, med fokus på följande grupper:
    – Antiarytmika.</t>
    </r>
  </si>
  <si>
    <t>Vaughan-Williams-klassifikationen och läkemedelsexemplen är tillagda.</t>
  </si>
  <si>
    <t>Läkemedel med proarytmisk effekt (antipsykotika, antibiotika, antiemetika, onkologiska läkemedel)</t>
  </si>
  <si>
    <t>Bygger på SvKF</t>
  </si>
  <si>
    <r>
      <rPr>
        <b/>
        <sz val="9"/>
        <color rgb="FF1B3A5C"/>
        <rFont val="Arial"/>
        <family val="2"/>
      </rPr>
      <t xml:space="preserve">Arytmier och synkope › Takykardier · s. 11 · Socialstyrelsens mål: STc6, STc9
</t>
    </r>
    <r>
      <rPr>
        <sz val="9"/>
        <color rgb="FF000000"/>
        <rFont val="Arial"/>
        <family val="2"/>
      </rPr>
      <t xml:space="preserve">• Antiarytmisk läkemedelsbehandling (inklusive proarytmier) av supraventrikulära och ventrikulära takykardier.
</t>
    </r>
    <r>
      <rPr>
        <b/>
        <sz val="9"/>
        <color rgb="FF1B3A5C"/>
        <rFont val="Arial"/>
        <family val="2"/>
      </rPr>
      <t xml:space="preserve">
Klinisk farmakologi · s. 19 · Socialstyrelsens mål: ingår i de flesta c-målen
</t>
    </r>
    <r>
      <rPr>
        <sz val="9"/>
        <color rgb="FF000000"/>
        <rFont val="Arial"/>
        <family val="2"/>
      </rPr>
      <t xml:space="preserve">• Kardiovaskulära biverkningar av annan läkemedelsbehandling.
</t>
    </r>
    <r>
      <rPr>
        <b/>
        <sz val="9"/>
        <color rgb="FF1B3A5C"/>
        <rFont val="Arial"/>
        <family val="2"/>
      </rPr>
      <t xml:space="preserve">
Hjärttumörer och kardiella komplikationer vid onkologisk sjukdom · s. 15 · Socialstyrelsens mål: STc10
</t>
    </r>
    <r>
      <rPr>
        <sz val="9"/>
        <color rgb="FF000000"/>
        <rFont val="Arial"/>
        <family val="2"/>
      </rPr>
      <t>• Kardiovaskulär påverkan vid maligniteter:
    – Kardiotoxicitet vid farmakologisk tumörbehandling.</t>
    </r>
  </si>
  <si>
    <t>Antikoagulation (DOAK och warfarin): verkningsmekanism, farmakokinetik och dynamik</t>
  </si>
  <si>
    <t>Bygger på SvKF</t>
  </si>
  <si>
    <r>
      <rPr>
        <b/>
        <sz val="9"/>
        <color rgb="FF1B3A5C"/>
        <rFont val="Arial"/>
        <family val="2"/>
      </rPr>
      <t xml:space="preserve">Klinisk farmakologi · s. 19 · Socialstyrelsens mål: ingår i de flesta c-målen
</t>
    </r>
    <r>
      <rPr>
        <sz val="9"/>
        <color rgb="FF000000"/>
        <rFont val="Arial"/>
        <family val="2"/>
      </rPr>
      <t>• Indikationer/kontraindikationer, farmakokinetik, verkningsmekanismer, vanliga och/eller allvarliga interaktioner, biverkningar och toxiska effekter för kardiovaskulära läkemedel, med fokus på följande grupper:
    – Antikoagulantia.</t>
    </r>
  </si>
  <si>
    <t>Läkemedelsexemplen är tillagda.</t>
  </si>
  <si>
    <t>Förstå hur olika pacemakersystem och ICD fungerar</t>
  </si>
  <si>
    <t>Bygger på SvKF</t>
  </si>
  <si>
    <r>
      <rPr>
        <b/>
        <sz val="9"/>
        <color rgb="FF1B3A5C"/>
        <rFont val="Arial"/>
        <family val="2"/>
      </rPr>
      <t xml:space="preserve">Arytmier och synkope › Bradykardier och device · s. 12 · Socialstyrelsens mål: STc6, STc9
</t>
    </r>
    <r>
      <rPr>
        <sz val="9"/>
        <color rgb="FF000000"/>
        <rFont val="Arial"/>
        <family val="2"/>
      </rPr>
      <t>• Indikationer för permanent pacemakerbehandling samt olika pacemakersystem (inklusive CRT och ICD).</t>
    </r>
  </si>
  <si>
    <t>Ärftliga jonkanalssjukdomar (LQTS, SQTS, Brugada, CPVT, ERS, idiopatisk VF): patofysiologi och genetik</t>
  </si>
  <si>
    <t>Bygger på SvKF</t>
  </si>
  <si>
    <r>
      <rPr>
        <b/>
        <sz val="9"/>
        <color rgb="FF1B3A5C"/>
        <rFont val="Arial"/>
        <family val="2"/>
      </rPr>
      <t xml:space="preserve">Arytmier och synkope › Ärftliga arytmisjukdomar · s. 13 · Socialstyrelsens mål: STc6, STc9
</t>
    </r>
    <r>
      <rPr>
        <sz val="9"/>
        <color rgb="FF000000"/>
        <rFont val="Arial"/>
        <family val="2"/>
      </rPr>
      <t xml:space="preserve">• Epidemiologi, symtom, riskvärdering, diagnostiska kriterier samt behandling vid ärftliga arytmisjukdomar såsom ARVC, Brugadas sjukdom, långt QT-syndrom, kort QT-syndrom samt katekolaminerg polymorf VT.
</t>
    </r>
    <r>
      <rPr>
        <b/>
        <sz val="9"/>
        <color rgb="FF1B3A5C"/>
        <rFont val="Arial"/>
        <family val="2"/>
      </rPr>
      <t xml:space="preserve">
Genetik vid hjärtsjukdom · s. 16 · Socialstyrelsens mål: STc10
</t>
    </r>
    <r>
      <rPr>
        <sz val="9"/>
        <color rgb="FF000000"/>
        <rFont val="Arial"/>
        <family val="2"/>
      </rPr>
      <t>• Klassifikation, epidemiologi, patofysiologi, symtom, differentialdiagnoser, undersökningsmetoder, behandling och prognos för ärftliga kardiovaskulära sjukdomar med särskilt fokus på kardiomyopatier, arytmier, aortopatier och dyslipidemier. Exempelvis:
    – Långt QT-syndrom (LQTS).
    – Brugada syndrom.
    – Katekolaminerg polymorf VT.</t>
    </r>
  </si>
  <si>
    <t>Kardiomyopatier med arytmirisk (ARVC, HCM, DCM, LVNC, laminopatier, amyloidos, sarkoidos): klassifikation, epidemiologi, orsaker, och patofysiologi.</t>
  </si>
  <si>
    <t>Bygger på SvKF</t>
  </si>
  <si>
    <r>
      <rPr>
        <b/>
        <sz val="9"/>
        <color rgb="FF1B3A5C"/>
        <rFont val="Arial"/>
        <family val="2"/>
      </rPr>
      <t xml:space="preserve">Genetik vid hjärtsjukdom · s. 16 · Socialstyrelsens mål: STc10
</t>
    </r>
    <r>
      <rPr>
        <sz val="9"/>
        <color rgb="FF000000"/>
        <rFont val="Arial"/>
        <family val="2"/>
      </rPr>
      <t xml:space="preserve">• Klassifikation, epidemiologi, patofysiologi, symtom, differentialdiagnoser, undersökningsmetoder, behandling och prognos för ärftliga kardiovaskulära sjukdomar med särskilt fokus på kardiomyopatier, arytmier, aortopatier och dyslipidemier. Exempelvis:
    – Hypertrof kardiomyopati.
    – Dilaterad kardiomyopati.
    – Arytmogen Kardiomyopati (ARVC).
    – Amyloidos.
</t>
    </r>
    <r>
      <rPr>
        <b/>
        <sz val="9"/>
        <color rgb="FF1B3A5C"/>
        <rFont val="Arial"/>
        <family val="2"/>
      </rPr>
      <t xml:space="preserve">
Hjärtsvikt, kardiomyopatier och pulmonell hypertension · s. 10 · Socialstyrelsens mål: STc8
</t>
    </r>
    <r>
      <rPr>
        <sz val="9"/>
        <color rgb="FF000000"/>
        <rFont val="Arial"/>
        <family val="2"/>
      </rPr>
      <t>• Olika typer av kardiomyopatier.
• Hjärtsarkoidos.</t>
    </r>
  </si>
  <si>
    <t>Tolka olika former av EKG vid arytmier: 12-avlednings EKG, telemetri, Holter-EKG, esofagus-EKG, event recorder, tum-ekg</t>
  </si>
  <si>
    <t>Ordagrant</t>
  </si>
  <si>
    <r>
      <rPr>
        <b/>
        <sz val="9"/>
        <color rgb="FF1B3A5C"/>
        <rFont val="Arial"/>
        <family val="2"/>
      </rPr>
      <t xml:space="preserve">Arytmier och synkope · s. 11 · Socialstyrelsens mål: STc6, STc9
</t>
    </r>
    <r>
      <rPr>
        <sz val="9"/>
        <color rgb="FF000000"/>
        <rFont val="Arial"/>
        <family val="2"/>
      </rPr>
      <t xml:space="preserve">• Utförande och tolkning av EKG (inklusive olika typer av långtidsregistrering).
</t>
    </r>
    <r>
      <rPr>
        <b/>
        <sz val="9"/>
        <color rgb="FF1B3A5C"/>
        <rFont val="Arial"/>
        <family val="2"/>
      </rPr>
      <t xml:space="preserve">
Arytmier och synkope › Takykardier · s. 11 · Socialstyrelsens mål: STc6, STc9
</t>
    </r>
    <r>
      <rPr>
        <sz val="9"/>
        <color rgb="FF000000"/>
        <rFont val="Arial"/>
        <family val="2"/>
      </rPr>
      <t xml:space="preserve">• Genomförande och tolkning av esofagus-EKG.
</t>
    </r>
    <r>
      <rPr>
        <b/>
        <sz val="9"/>
        <color rgb="FF1B3A5C"/>
        <rFont val="Arial"/>
        <family val="2"/>
      </rPr>
      <t xml:space="preserve">
Rekommendationslista – kompetensnivåer för färdigheter · s. 23
</t>
    </r>
    <r>
      <rPr>
        <sz val="9"/>
        <color rgb="FF000000"/>
        <rFont val="Arial"/>
        <family val="2"/>
      </rPr>
      <t>• Tolkning av 12-avlednings EKG — nivå Sverige: 5, ESC: 5
• Tolka långtidsregistrering EKG (Holter, event-recorder, vektor m fl) — nivå Sverige: 5, ESC: 5
• Esofagus-EKG — nivå Sverige: 5, ESC: 4</t>
    </r>
  </si>
  <si>
    <t>Exemplen i parentes är tillagda.</t>
  </si>
  <si>
    <t>Utredning och diagnostik vid ventrikulära arytmier (VES, VT)</t>
  </si>
  <si>
    <t>Ordagrant</t>
  </si>
  <si>
    <r>
      <rPr>
        <b/>
        <sz val="9"/>
        <color rgb="FF1B3A5C"/>
        <rFont val="Arial"/>
        <family val="2"/>
      </rPr>
      <t xml:space="preserve">Arytmier och synkope › Takykardier · s. 11 · Socialstyrelsens mål: STc6, STc9
</t>
    </r>
    <r>
      <rPr>
        <sz val="9"/>
        <color rgb="FF000000"/>
        <rFont val="Arial"/>
        <family val="2"/>
      </rPr>
      <t xml:space="preserve">• Utredning, prognostisering och farmakologisk behandling av ventrikulära extraslag
</t>
    </r>
    <r>
      <rPr>
        <b/>
        <sz val="9"/>
        <color rgb="FF1B3A5C"/>
        <rFont val="Arial"/>
        <family val="2"/>
      </rPr>
      <t xml:space="preserve">
Arytmier och synkope · s. 11 · Socialstyrelsens mål: STc6, STc9
</t>
    </r>
    <r>
      <rPr>
        <sz val="9"/>
        <color rgb="FF000000"/>
        <rFont val="Arial"/>
        <family val="2"/>
      </rPr>
      <t>• Klassifikation, epidemiologi, orsaker, patofysiologi, klinisk bild, differentialdiagnoser, diagnostik, behandling och prognos vid supraventrikulära och ventrikulära takyarytmier, bradykardier samt synkope.</t>
    </r>
  </si>
  <si>
    <t>Utredning och diagnostik av förmaksflimmer/fladder</t>
  </si>
  <si>
    <t>Bygger på SvKF</t>
  </si>
  <si>
    <r>
      <rPr>
        <b/>
        <sz val="9"/>
        <color rgb="FF1B3A5C"/>
        <rFont val="Arial"/>
        <family val="2"/>
      </rPr>
      <t xml:space="preserve">Arytmier och synkope · s. 11 · Socialstyrelsens mål: STc6, STc9
</t>
    </r>
    <r>
      <rPr>
        <sz val="9"/>
        <color rgb="FF000000"/>
        <rFont val="Arial"/>
        <family val="2"/>
      </rPr>
      <t xml:space="preserve">• Klassifikation, epidemiologi, orsaker, patofysiologi, klinisk bild, differentialdiagnoser, diagnostik, behandling och prognos vid supraventrikulära och ventrikulära takyarytmier, bradykardier samt synkope.
</t>
    </r>
    <r>
      <rPr>
        <b/>
        <sz val="9"/>
        <color rgb="FF1B3A5C"/>
        <rFont val="Arial"/>
        <family val="2"/>
      </rPr>
      <t xml:space="preserve">
Arytmier och synkope › Förmaksflimmer/Förmaksfladder · s. 12 · Socialstyrelsens mål: STc6, STc9
</t>
    </r>
    <r>
      <rPr>
        <sz val="9"/>
        <color rgb="FF000000"/>
        <rFont val="Arial"/>
        <family val="2"/>
      </rPr>
      <t>• Epidemiologi, patofysiologi, symtomatologi, prognos och klassifikation.</t>
    </r>
  </si>
  <si>
    <t>Utredning och diagnostik av misstänkt kronotrop insufficiens och arbetsinducerad arytmi</t>
  </si>
  <si>
    <t>Bygger på SvKF</t>
  </si>
  <si>
    <r>
      <rPr>
        <b/>
        <sz val="9"/>
        <color rgb="FF1B3A5C"/>
        <rFont val="Arial"/>
        <family val="2"/>
      </rPr>
      <t xml:space="preserve">Noninvasiv bild- och funktionsdiagnostik › Utföra och tolka · s. 20 · Socialstyrelsens mål: STc7
</t>
    </r>
    <r>
      <rPr>
        <sz val="9"/>
        <color rgb="FF000000"/>
        <rFont val="Arial"/>
        <family val="2"/>
      </rPr>
      <t xml:space="preserve">• Arbetsprov.
</t>
    </r>
    <r>
      <rPr>
        <b/>
        <sz val="9"/>
        <color rgb="FF1B3A5C"/>
        <rFont val="Arial"/>
        <family val="2"/>
      </rPr>
      <t xml:space="preserve">
Arytmier och synkope · s. 11 · Socialstyrelsens mål: STc6, STc9
</t>
    </r>
    <r>
      <rPr>
        <sz val="9"/>
        <color rgb="FF000000"/>
        <rFont val="Arial"/>
        <family val="2"/>
      </rPr>
      <t>• Klassifikation, epidemiologi, orsaker, patofysiologi, klinisk bild, differentialdiagnoser, diagnostik, behandling och prognos vid supraventrikulära och ventrikulära takyarytmier, bradykardier samt synkope.</t>
    </r>
  </si>
  <si>
    <t>Kronotrop insufficiens nämns inte med namn i SvKF 2022.</t>
  </si>
  <si>
    <t>Utredning och diagnostik vid misstänkt arytmikänsla</t>
  </si>
  <si>
    <t>Bygger på SvKF</t>
  </si>
  <si>
    <r>
      <rPr>
        <b/>
        <sz val="9"/>
        <color rgb="FF1B3A5C"/>
        <rFont val="Arial"/>
        <family val="2"/>
      </rPr>
      <t xml:space="preserve">Arytmier och synkope · s. 11 · Socialstyrelsens mål: STc6, STc9
</t>
    </r>
    <r>
      <rPr>
        <sz val="9"/>
        <color rgb="FF000000"/>
        <rFont val="Arial"/>
        <family val="2"/>
      </rPr>
      <t>• Klassifikation, epidemiologi, orsaker, patofysiologi, klinisk bild, differentialdiagnoser, diagnostik, behandling och prognos vid supraventrikulära och ventrikulära takyarytmier, bradykardier samt synkope.
• Utförande och tolkning av EKG (inklusive olika typer av långtidsregistrering).</t>
    </r>
  </si>
  <si>
    <t>Utredning och diagnostik av andra SVT (FAT, MAT, AVNRT, AVRT, JT)</t>
  </si>
  <si>
    <t>Bygger på SvKF</t>
  </si>
  <si>
    <r>
      <rPr>
        <b/>
        <sz val="9"/>
        <color rgb="FF1B3A5C"/>
        <rFont val="Arial"/>
        <family val="2"/>
      </rPr>
      <t xml:space="preserve">Arytmier och synkope · s. 11 · Socialstyrelsens mål: STc6, STc9
</t>
    </r>
    <r>
      <rPr>
        <sz val="9"/>
        <color rgb="FF000000"/>
        <rFont val="Arial"/>
        <family val="2"/>
      </rPr>
      <t xml:space="preserve">• Klassifikation, epidemiologi, orsaker, patofysiologi, klinisk bild, differentialdiagnoser, diagnostik, behandling och prognos vid supraventrikulära och ventrikulära takyarytmier, bradykardier samt synkope.
</t>
    </r>
    <r>
      <rPr>
        <b/>
        <sz val="9"/>
        <color rgb="FF1B3A5C"/>
        <rFont val="Arial"/>
        <family val="2"/>
      </rPr>
      <t xml:space="preserve">
Arytmier och synkope › Takykardier · s. 12 · Socialstyrelsens mål: STc6, STc9
</t>
    </r>
    <r>
      <rPr>
        <sz val="9"/>
        <color rgb="FF000000"/>
        <rFont val="Arial"/>
        <family val="2"/>
      </rPr>
      <t>• Indikationer, komplikationer och prognos vid elektrofysiologisk undersökning och ablationsbehandling vid supraventrikulär takykardi.</t>
    </r>
  </si>
  <si>
    <t>Strukturerad utredning och diagnostik av synkope</t>
  </si>
  <si>
    <t>Ordagrant</t>
  </si>
  <si>
    <r>
      <rPr>
        <b/>
        <sz val="9"/>
        <color rgb="FF1B3A5C"/>
        <rFont val="Arial"/>
        <family val="2"/>
      </rPr>
      <t xml:space="preserve">Arytmier och synkope › Synkope · s. 12 · Socialstyrelsens mål: STc6, STc9
</t>
    </r>
    <r>
      <rPr>
        <sz val="9"/>
        <color rgb="FF000000"/>
        <rFont val="Arial"/>
        <family val="2"/>
      </rPr>
      <t>• Strukturerad utredning.</t>
    </r>
  </si>
  <si>
    <t>Indikation för och utredning med ILR: patientselektion, uppföljning, tolkning</t>
  </si>
  <si>
    <t>Ordagrant</t>
  </si>
  <si>
    <r>
      <rPr>
        <b/>
        <sz val="9"/>
        <color rgb="FF1B3A5C"/>
        <rFont val="Arial"/>
        <family val="2"/>
      </rPr>
      <t xml:space="preserve">Arytmier och synkope › Bradykardier och device · s. 12 · Socialstyrelsens mål: STc6, STc9
</t>
    </r>
    <r>
      <rPr>
        <sz val="9"/>
        <color rgb="FF000000"/>
        <rFont val="Arial"/>
        <family val="2"/>
      </rPr>
      <t>• Indikation för och utredning med Implantable loop recorder (ILR).</t>
    </r>
  </si>
  <si>
    <t>Indikation för och tolkning av TILT och carotissinusmassage</t>
  </si>
  <si>
    <t>Bygger på SvKF</t>
  </si>
  <si>
    <r>
      <rPr>
        <b/>
        <sz val="9"/>
        <color rgb="FF1B3A5C"/>
        <rFont val="Arial"/>
        <family val="2"/>
      </rPr>
      <t xml:space="preserve">Arytmier och synkope › Synkope · s. 12 · Socialstyrelsens mål: STc6, STc9
</t>
    </r>
    <r>
      <rPr>
        <sz val="9"/>
        <color rgb="FF000000"/>
        <rFont val="Arial"/>
        <family val="2"/>
      </rPr>
      <t xml:space="preserve">• Strukturerad utredning.
• Riskbedömning av den enskilda patienten.
</t>
    </r>
    <r>
      <rPr>
        <b/>
        <sz val="9"/>
        <color rgb="FF1B3A5C"/>
        <rFont val="Arial"/>
        <family val="2"/>
      </rPr>
      <t xml:space="preserve">
Arytmier och synkope · s. 11 · Socialstyrelsens mål: STc6, STc9
</t>
    </r>
    <r>
      <rPr>
        <sz val="9"/>
        <color rgb="FF000000"/>
        <rFont val="Arial"/>
        <family val="2"/>
      </rPr>
      <t>• Klassifikation, epidemiologi, orsaker, patofysiologi, klinisk bild, differentialdiagnoser, diagnostik, behandling och prognos vid supraventrikulära och ventrikulära takyarytmier, bradykardier samt synkope.</t>
    </r>
  </si>
  <si>
    <t>TILT och carotissinusmassage nämns inte med namn i SvKF 2022; de ingår i den strukturerade synkopeutredningen.</t>
  </si>
  <si>
    <t>Identifiera och handlägga device-komplikationer: elektrodförskjutning och fraktur, infektion (pocket, endokardit), pneumothorax, inadekvata chocker, Twiddler's syndrom, device-pocket-hematom</t>
  </si>
  <si>
    <t>Ordagrant</t>
  </si>
  <si>
    <r>
      <rPr>
        <b/>
        <sz val="9"/>
        <color rgb="FF1B3A5C"/>
        <rFont val="Arial"/>
        <family val="2"/>
      </rPr>
      <t xml:space="preserve">Arytmier och synkope › Bradykardier och device · s. 12 · Socialstyrelsens mål: STc6, STc9
</t>
    </r>
    <r>
      <rPr>
        <sz val="9"/>
        <color rgb="FF000000"/>
        <rFont val="Arial"/>
        <family val="2"/>
      </rPr>
      <t>• Identifiering och initial handläggning av icke-kirurgiska komplikationer till device behandling (exempelvis pacemaker medierad takykardi, pacing inducerad kardiomyopati).
• Handläggning av komplikationer till pacemakerkirurgi.</t>
    </r>
  </si>
  <si>
    <t>Exemplen är tillagda.</t>
  </si>
  <si>
    <t>Identifiera och handlägga ablation-komplikationer: tamponad, AV-block, kärlskada, atrioesofageal fistel, frenisk nervparalys, tromboembolism</t>
  </si>
  <si>
    <t>Ordagrant</t>
  </si>
  <si>
    <r>
      <rPr>
        <b/>
        <sz val="9"/>
        <color rgb="FF1B3A5C"/>
        <rFont val="Arial"/>
        <family val="2"/>
      </rPr>
      <t xml:space="preserve">Arytmier och synkope › Takykardier · s. 12 · Socialstyrelsens mål: STc6, STc9
</t>
    </r>
    <r>
      <rPr>
        <sz val="9"/>
        <color rgb="FF000000"/>
        <rFont val="Arial"/>
        <family val="2"/>
      </rPr>
      <t xml:space="preserve">• Handläggning av komplikationer till invasiva ingrepp.
</t>
    </r>
    <r>
      <rPr>
        <b/>
        <sz val="9"/>
        <color rgb="FF1B3A5C"/>
        <rFont val="Arial"/>
        <family val="2"/>
      </rPr>
      <t xml:space="preserve">
Arytmier och synkope › Förmaksflimmer/Förmaksfladder · s. 12 · Socialstyrelsens mål: STc6, STc9
</t>
    </r>
    <r>
      <rPr>
        <sz val="9"/>
        <color rgb="FF000000"/>
        <rFont val="Arial"/>
        <family val="2"/>
      </rPr>
      <t>• Handläggning av komplikationer till invasiva ingrepp.</t>
    </r>
  </si>
  <si>
    <t>Exemplen är tillagda.</t>
  </si>
  <si>
    <t>Integrera eko-/MR-/CT-fynd i arytmiutredning (strukturell orsak, ärrbild, funktion) och avgöra när bildgivande utredning behövs</t>
  </si>
  <si>
    <t>Bygger på SvKF</t>
  </si>
  <si>
    <r>
      <rPr>
        <b/>
        <sz val="9"/>
        <color rgb="FF1B3A5C"/>
        <rFont val="Arial"/>
        <family val="2"/>
      </rPr>
      <t xml:space="preserve">Noninvasiv bild- och funktionsdiagnostik › Allmänt · s. 20 · Socialstyrelsens mål: STc7
</t>
    </r>
    <r>
      <rPr>
        <sz val="9"/>
        <color rgb="FF000000"/>
        <rFont val="Arial"/>
        <family val="2"/>
      </rPr>
      <t xml:space="preserve">• Indikationer, kontraindikationer, styrkor och begränsningar, samt komplikationer till noninvasiva undersökningar.
</t>
    </r>
    <r>
      <rPr>
        <b/>
        <sz val="9"/>
        <color rgb="FF1B3A5C"/>
        <rFont val="Arial"/>
        <family val="2"/>
      </rPr>
      <t xml:space="preserve">
Noninvasiv bild- och funktionsdiagnostik › Utföra och tolka · s. 20 · Socialstyrelsens mål: STc7
</t>
    </r>
    <r>
      <rPr>
        <sz val="9"/>
        <color rgb="FF000000"/>
        <rFont val="Arial"/>
        <family val="2"/>
      </rPr>
      <t xml:space="preserve">• Transthorakal ekokardiografi (TTE).
</t>
    </r>
    <r>
      <rPr>
        <b/>
        <sz val="9"/>
        <color rgb="FF1B3A5C"/>
        <rFont val="Arial"/>
        <family val="2"/>
      </rPr>
      <t xml:space="preserve">
Noninvasiv bild- och funktionsdiagnostik › Grundläggande bildtolkning · s. 20 · Socialstyrelsens mål: STc7
</t>
    </r>
    <r>
      <rPr>
        <sz val="9"/>
        <color rgb="FF000000"/>
        <rFont val="Arial"/>
        <family val="2"/>
      </rPr>
      <t>• Magnetresonanstomografi (MR)
• Datortomografi (DT), inklusive koronar kalciumscore och FFR (fractional flow reserve)</t>
    </r>
  </si>
  <si>
    <t>Basal utredning och diagnostik vid misstänkt ärftlig arytmisjukdom, inkl familjeutredning och screening: indikation, remittering till klinisk genetik, initial screening av första gradens släktingar</t>
  </si>
  <si>
    <t>Bygger på SvKF</t>
  </si>
  <si>
    <r>
      <rPr>
        <b/>
        <sz val="9"/>
        <color rgb="FF1B3A5C"/>
        <rFont val="Arial"/>
        <family val="2"/>
      </rPr>
      <t xml:space="preserve">Arytmier och synkope › Ärftliga arytmisjukdomar · s. 13 · Socialstyrelsens mål: STc6, STc9
</t>
    </r>
    <r>
      <rPr>
        <sz val="9"/>
        <color rgb="FF000000"/>
        <rFont val="Arial"/>
        <family val="2"/>
      </rPr>
      <t xml:space="preserve">• Epidemiologi, symtom, riskvärdering, diagnostiska kriterier samt behandling vid ärftliga arytmisjukdomar såsom ARVC, Brugadas sjukdom, långt QT-syndrom, kort QT-syndrom samt katekolaminerg polymorf VT.
</t>
    </r>
    <r>
      <rPr>
        <b/>
        <sz val="9"/>
        <color rgb="FF1B3A5C"/>
        <rFont val="Arial"/>
        <family val="2"/>
      </rPr>
      <t xml:space="preserve">
Genetik vid hjärtsjukdom · s. 17 · Socialstyrelsens mål: STc10
</t>
    </r>
    <r>
      <rPr>
        <sz val="9"/>
        <color rgb="FF000000"/>
        <rFont val="Arial"/>
        <family val="2"/>
      </rPr>
      <t>• Identifiera patienter som bör remitteras till klinisk genetisk enhet för diagnostik och specialiserad genetisk vägledning.
• Identifiera och ge basal vägledning till familjemedlemmar som löper risk att vara bärare av kardiovaskulära sjukdomsanlag samt screening med medvetenhet om de speciella etiska problem genetiska sjukdomar kan medföra.</t>
    </r>
  </si>
  <si>
    <t>Förmaksflimmer/fladder: motivera val av emboliprofylax (DOAK vs warfarin), värdera blödningsrisk och känna till betydelsen av samsjukligheter (obesitas, alkohol, OSAS, hjärtsvikt, klaffsjukdom, thyroideasjukdom, njursvikt, diabetes, KOL mm).</t>
  </si>
  <si>
    <t>Ordagrant</t>
  </si>
  <si>
    <r>
      <rPr>
        <b/>
        <sz val="9"/>
        <color rgb="FF1B3A5C"/>
        <rFont val="Arial"/>
        <family val="2"/>
      </rPr>
      <t xml:space="preserve">Arytmier och synkope › Förmaksflimmer/Förmaksfladder · s. 12 · Socialstyrelsens mål: STc6, STc9
</t>
    </r>
    <r>
      <rPr>
        <sz val="9"/>
        <color rgb="FF000000"/>
        <rFont val="Arial"/>
        <family val="2"/>
      </rPr>
      <t>• Betydelsen av samsjuklighet för sjukdomen och dess behandling.
• Riskstratifiering och val av adekvat emboliprofylax samt värdering av blödningsrisk.</t>
    </r>
  </si>
  <si>
    <t>Exemplen i parentes är tillagda.</t>
  </si>
  <si>
    <t>Bedöma samsjuklighetens betydelse för arytmihantering (t.ex. hjärtsvikt, klaffsjukdom, ischemi, tyreoideasjukdom, njursvikt, OSA, KOL)</t>
  </si>
  <si>
    <t>Bygger på SvKF</t>
  </si>
  <si>
    <r>
      <rPr>
        <b/>
        <sz val="9"/>
        <color rgb="FF1B3A5C"/>
        <rFont val="Arial"/>
        <family val="2"/>
      </rPr>
      <t xml:space="preserve">Arytmier och synkope › Förmaksflimmer/Förmaksfladder · s. 12 · Socialstyrelsens mål: STc6, STc9
</t>
    </r>
    <r>
      <rPr>
        <sz val="9"/>
        <color rgb="FF000000"/>
        <rFont val="Arial"/>
        <family val="2"/>
      </rPr>
      <t>• Betydelsen av samsjuklighet för sjukdomen och dess behandling.</t>
    </r>
  </si>
  <si>
    <t>SvKF anger detta under förmaksflimmer/förmaksfladder; här breddat till arytmier generellt.</t>
  </si>
  <si>
    <t>Synkope: bedöma risk, prognos och vårdnivå</t>
  </si>
  <si>
    <t>Bygger på SvKF</t>
  </si>
  <si>
    <r>
      <rPr>
        <b/>
        <sz val="9"/>
        <color rgb="FF1B3A5C"/>
        <rFont val="Arial"/>
        <family val="2"/>
      </rPr>
      <t xml:space="preserve">Arytmier och synkope › Synkope · s. 12 · Socialstyrelsens mål: STc6, STc9
</t>
    </r>
    <r>
      <rPr>
        <sz val="9"/>
        <color rgb="FF000000"/>
        <rFont val="Arial"/>
        <family val="2"/>
      </rPr>
      <t xml:space="preserve">• Riskbedömning av den enskilda patienten.
</t>
    </r>
    <r>
      <rPr>
        <b/>
        <sz val="9"/>
        <color rgb="FF1B3A5C"/>
        <rFont val="Arial"/>
        <family val="2"/>
      </rPr>
      <t xml:space="preserve">
Arytmier och synkope · s. 11 · Socialstyrelsens mål: STc6, STc9
</t>
    </r>
    <r>
      <rPr>
        <sz val="9"/>
        <color rgb="FF000000"/>
        <rFont val="Arial"/>
        <family val="2"/>
      </rPr>
      <t>• Klassifikation, epidemiologi, orsaker, patofysiologi, klinisk bild, differentialdiagnoser, diagnostik, behandling och prognos vid supraventrikulära och ventrikulära takyarytmier, bradykardier samt synkope.</t>
    </r>
  </si>
  <si>
    <t>ICD (primärprevention): värdera nytta, risk, patientpreferenser, livskvalitet</t>
  </si>
  <si>
    <t>Bygger på SvKF</t>
  </si>
  <si>
    <r>
      <rPr>
        <b/>
        <sz val="9"/>
        <color rgb="FF1B3A5C"/>
        <rFont val="Arial"/>
        <family val="2"/>
      </rPr>
      <t xml:space="preserve">Arytmier och synkope › Takykardier · s. 11 · Socialstyrelsens mål: STc6, STc9
</t>
    </r>
    <r>
      <rPr>
        <sz val="9"/>
        <color rgb="FF000000"/>
        <rFont val="Arial"/>
        <family val="2"/>
      </rPr>
      <t xml:space="preserve">• Indikationer och komplikationer vid ICD-behandling samt genomföra avläsning med programmerare.
</t>
    </r>
    <r>
      <rPr>
        <b/>
        <sz val="9"/>
        <color rgb="FF1B3A5C"/>
        <rFont val="Arial"/>
        <family val="2"/>
      </rPr>
      <t xml:space="preserve">
Arytmier och synkope › Bradykardier och device · s. 12 · Socialstyrelsens mål: STc6, STc9
</t>
    </r>
    <r>
      <rPr>
        <sz val="9"/>
        <color rgb="FF000000"/>
        <rFont val="Arial"/>
        <family val="2"/>
      </rPr>
      <t>• Indikationer för permanent pacemakerbehandling samt olika pacemakersystem (inklusive CRT och ICD).</t>
    </r>
  </si>
  <si>
    <t>Ventrikulära arytmier (vid kardiomyopatier, ischemisk hjärtsjukdom, ärftliga arytmisyndrom): riskstratifiering för plötslig hjärtdöd</t>
  </si>
  <si>
    <t>Bygger på SvKF</t>
  </si>
  <si>
    <r>
      <rPr>
        <b/>
        <sz val="9"/>
        <color rgb="FF1B3A5C"/>
        <rFont val="Arial"/>
        <family val="2"/>
      </rPr>
      <t xml:space="preserve">Arytmier och synkope › Ärftliga arytmisjukdomar · s. 13 · Socialstyrelsens mål: STc6, STc9
</t>
    </r>
    <r>
      <rPr>
        <sz val="9"/>
        <color rgb="FF000000"/>
        <rFont val="Arial"/>
        <family val="2"/>
      </rPr>
      <t xml:space="preserve">• Epidemiologi, symtom, riskvärdering, diagnostiska kriterier samt behandling vid ärftliga arytmisjukdomar såsom ARVC, Brugadas sjukdom, långt QT-syndrom, kort QT-syndrom samt katekolaminerg polymorf VT.
</t>
    </r>
    <r>
      <rPr>
        <b/>
        <sz val="9"/>
        <color rgb="FF1B3A5C"/>
        <rFont val="Arial"/>
        <family val="2"/>
      </rPr>
      <t xml:space="preserve">
Arytmier och synkope · s. 11 · Socialstyrelsens mål: STc6, STc9
</t>
    </r>
    <r>
      <rPr>
        <sz val="9"/>
        <color rgb="FF000000"/>
        <rFont val="Arial"/>
        <family val="2"/>
      </rPr>
      <t xml:space="preserve">• Klassifikation, epidemiologi, orsaker, patofysiologi, klinisk bild, differentialdiagnoser, diagnostik, behandling och prognos vid supraventrikulära och ventrikulära takyarytmier, bradykardier samt synkope.
</t>
    </r>
    <r>
      <rPr>
        <b/>
        <sz val="9"/>
        <color rgb="FF1B3A5C"/>
        <rFont val="Arial"/>
        <family val="2"/>
      </rPr>
      <t xml:space="preserve">
Arytmier och synkope › Takykardier · s. 11 · Socialstyrelsens mål: STc6, STc9
</t>
    </r>
    <r>
      <rPr>
        <sz val="9"/>
        <color rgb="FF000000"/>
        <rFont val="Arial"/>
        <family val="2"/>
      </rPr>
      <t xml:space="preserve">• Indikationer och komplikationer vid ICD-behandling samt genomföra avläsning med programmerare.
</t>
    </r>
    <r>
      <rPr>
        <b/>
        <sz val="9"/>
        <color rgb="FF1B3A5C"/>
        <rFont val="Arial"/>
        <family val="2"/>
      </rPr>
      <t xml:space="preserve">
Genetik vid hjärtsjukdom · s. 16 · Socialstyrelsens mål: STc10
</t>
    </r>
    <r>
      <rPr>
        <sz val="9"/>
        <color rgb="FF000000"/>
        <rFont val="Arial"/>
        <family val="2"/>
      </rPr>
      <t xml:space="preserve">• Klassifikation, epidemiologi, patofysiologi, symtom, differentialdiagnoser, undersökningsmetoder, behandling och prognos för ärftliga kardiovaskulära sjukdomar med särskilt fokus på kardiomyopatier, arytmier, aortopatier och dyslipidemier. Exempelvis:
    – Hypertrof kardiomyopati.
    – Dilaterad kardiomyopati.
    – Arytmogen Kardiomyopati (ARVC).
</t>
    </r>
    <r>
      <rPr>
        <b/>
        <sz val="9"/>
        <color rgb="FF1B3A5C"/>
        <rFont val="Arial"/>
        <family val="2"/>
      </rPr>
      <t xml:space="preserve">
Idrottskardiologi · s. 19 · Socialstyrelsens mål: STc9, STc10, STc12
</t>
    </r>
    <r>
      <rPr>
        <sz val="9"/>
        <color rgb="FF000000"/>
        <rFont val="Arial"/>
        <family val="2"/>
      </rPr>
      <t>• Screening för att identifiera personer med hög risk för plötslig död vid fysisk aktivitet.</t>
    </r>
  </si>
  <si>
    <t>Förmaksflimmer/fladder: farmakologisk och invasiv behandling av förmaksflimmer/fladder (rytmreglerande och frekvensreglerande läkemedel, elkonvertering, ablation)</t>
  </si>
  <si>
    <t>Ordagrant</t>
  </si>
  <si>
    <r>
      <rPr>
        <b/>
        <sz val="9"/>
        <color rgb="FF1B3A5C"/>
        <rFont val="Arial"/>
        <family val="2"/>
      </rPr>
      <t xml:space="preserve">Arytmier och synkope › Förmaksflimmer/Förmaksfladder · s. 12 · Socialstyrelsens mål: STc6, STc9
</t>
    </r>
    <r>
      <rPr>
        <sz val="9"/>
        <color rgb="FF000000"/>
        <rFont val="Arial"/>
        <family val="2"/>
      </rPr>
      <t>• Rytmreglerande och frekvensreglerande läkemedelsbehandling.
• Farmakologisk konvertering och elkonvertering.
• Indikationer, kontraindikationer, komplikationer och prognos för invasiva behandlingsmetoder såsom kateterablation och kirurgi inklusive ocklusion av förmaksörat.</t>
    </r>
  </si>
  <si>
    <t>Emboliprofylax vid FF/FFL: val mellan DOAK och warfarin; dosering vid njursvikt, ålder, vikt; läkemedelsinteraktioner; hantering vid planerad kirurgi</t>
  </si>
  <si>
    <t>Bygger på SvKF</t>
  </si>
  <si>
    <r>
      <rPr>
        <b/>
        <sz val="9"/>
        <color rgb="FF1B3A5C"/>
        <rFont val="Arial"/>
        <family val="2"/>
      </rPr>
      <t xml:space="preserve">Arytmier och synkope › Förmaksflimmer/Förmaksfladder · s. 12 · Socialstyrelsens mål: STc6, STc9
</t>
    </r>
    <r>
      <rPr>
        <sz val="9"/>
        <color rgb="FF000000"/>
        <rFont val="Arial"/>
        <family val="2"/>
      </rPr>
      <t xml:space="preserve">• Riskstratifiering och val av adekvat emboliprofylax samt värdering av blödningsrisk.
</t>
    </r>
    <r>
      <rPr>
        <b/>
        <sz val="9"/>
        <color rgb="FF1B3A5C"/>
        <rFont val="Arial"/>
        <family val="2"/>
      </rPr>
      <t xml:space="preserve">
Klinisk farmakologi · s. 19 · Socialstyrelsens mål: ingår i de flesta c-målen
</t>
    </r>
    <r>
      <rPr>
        <sz val="9"/>
        <color rgb="FF000000"/>
        <rFont val="Arial"/>
        <family val="2"/>
      </rPr>
      <t xml:space="preserve">• Indikationer/kontraindikationer, farmakokinetik, verkningsmekanismer, vanliga och/eller allvarliga interaktioner, biverkningar och toxiska effekter för kardiovaskulära läkemedel, med fokus på följande grupper:
    – Antikoagulantia.
• Individualiserad läkemedelsbehandling.
</t>
    </r>
    <r>
      <rPr>
        <b/>
        <sz val="9"/>
        <color rgb="FF1B3A5C"/>
        <rFont val="Arial"/>
        <family val="2"/>
      </rPr>
      <t xml:space="preserve">
Preoperativ bedömning · s. 22 · Socialstyrelsens mål: specifikt mål saknas
</t>
    </r>
    <r>
      <rPr>
        <sz val="9"/>
        <color rgb="FF000000"/>
        <rFont val="Arial"/>
        <family val="2"/>
      </rPr>
      <t>• Värdera optimalt tidsfönster för uppehåll i antitrombotisk behandling vid kirurgi hos patienter med kardiovaskulär sjukdom.</t>
    </r>
  </si>
  <si>
    <t>Andra SVT (FAT, MAT, AVNRT, AVRT, JT): icke-farmakologisk (vagala manövrar), farmakologisk och invasiv behandling</t>
  </si>
  <si>
    <t>Bygger på SvKF</t>
  </si>
  <si>
    <r>
      <rPr>
        <b/>
        <sz val="9"/>
        <color rgb="FF1B3A5C"/>
        <rFont val="Arial"/>
        <family val="2"/>
      </rPr>
      <t xml:space="preserve">Arytmier och synkope › Takykardier · s. 11–12 · Socialstyrelsens mål: STc6, STc9
</t>
    </r>
    <r>
      <rPr>
        <sz val="9"/>
        <color rgb="FF000000"/>
        <rFont val="Arial"/>
        <family val="2"/>
      </rPr>
      <t>• Antiarytmisk läkemedelsbehandling (inklusive proarytmier) av supraventrikulära och ventrikulära takykardier.
• Indikationer, komplikationer och prognos vid elektrofysiologisk undersökning och ablationsbehandling vid supraventrikulär takykardi.</t>
    </r>
  </si>
  <si>
    <t>Ventrikulära takyarytmier: farmakologisk (akut och underhållsbehandling) och invasiv behandling (ablation, ICD indikation)</t>
  </si>
  <si>
    <t>Ordagrant</t>
  </si>
  <si>
    <r>
      <rPr>
        <b/>
        <sz val="9"/>
        <color rgb="FF1B3A5C"/>
        <rFont val="Arial"/>
        <family val="2"/>
      </rPr>
      <t xml:space="preserve">Arytmier och synkope › Takykardier · s. 11–12 · Socialstyrelsens mål: STc6, STc9
</t>
    </r>
    <r>
      <rPr>
        <sz val="9"/>
        <color rgb="FF000000"/>
        <rFont val="Arial"/>
        <family val="2"/>
      </rPr>
      <t>• Antiarytmisk läkemedelsbehandling (inklusive proarytmier) av supraventrikulära och ventrikulära takykardier.
• Indikationer och komplikationer vid ICD-behandling samt genomföra avläsning med programmerare.
• Indikationer, kontraindikationer, komplikationer och prognos för invasiva behandlingsmetoder såsom kateterablation och kirurgi vid ventrikulära extraslag och ventrikulär takykardi.</t>
    </r>
  </si>
  <si>
    <t>Bradyarytmier: farmakologisk och invasiv behandling (inkl temporär och permanent pacemakerindikation)</t>
  </si>
  <si>
    <t>Bygger på SvKF</t>
  </si>
  <si>
    <r>
      <rPr>
        <b/>
        <sz val="9"/>
        <color rgb="FF1B3A5C"/>
        <rFont val="Arial"/>
        <family val="2"/>
      </rPr>
      <t xml:space="preserve">Arytmier och synkope › Bradykardier och device · s. 12 · Socialstyrelsens mål: STc6, STc9
</t>
    </r>
    <r>
      <rPr>
        <sz val="9"/>
        <color rgb="FF000000"/>
        <rFont val="Arial"/>
        <family val="2"/>
      </rPr>
      <t>• Extern/transkutan pacemakerbehandling
• Etablera temporär transvenös pacemaker via befintlig access samt programmering.
• Indikationer för permanent pacemakerbehandling samt olika pacemakersystem (inklusive CRT och ICD).</t>
    </r>
  </si>
  <si>
    <t>Synkope: farmakologisk, icke-farmakologisk behandling samt deviceterapi vid synkope.</t>
  </si>
  <si>
    <t>Ordagrant</t>
  </si>
  <si>
    <r>
      <rPr>
        <b/>
        <sz val="9"/>
        <color rgb="FF1B3A5C"/>
        <rFont val="Arial"/>
        <family val="2"/>
      </rPr>
      <t xml:space="preserve">Arytmier och synkope › Synkope · s. 12 · Socialstyrelsens mål: STc6, STc9
</t>
    </r>
    <r>
      <rPr>
        <sz val="9"/>
        <color rgb="FF000000"/>
        <rFont val="Arial"/>
        <family val="2"/>
      </rPr>
      <t>• Behandlingsalternativ inklusive farmakologisk och icke-farmakologisk behandling samt deviceterapi.</t>
    </r>
  </si>
  <si>
    <t>Indikationer, kontraindikationer, komplikationer och prognos vid pacemaker, ICD och CRT-P/D.</t>
  </si>
  <si>
    <t>Bygger på SvKF</t>
  </si>
  <si>
    <r>
      <rPr>
        <b/>
        <sz val="9"/>
        <color rgb="FF1B3A5C"/>
        <rFont val="Arial"/>
        <family val="2"/>
      </rPr>
      <t xml:space="preserve">Arytmier och synkope › Bradykardier och device · s. 12 · Socialstyrelsens mål: STc6, STc9
</t>
    </r>
    <r>
      <rPr>
        <sz val="9"/>
        <color rgb="FF000000"/>
        <rFont val="Arial"/>
        <family val="2"/>
      </rPr>
      <t xml:space="preserve">• Indikationer för permanent pacemakerbehandling samt olika pacemakersystem (inklusive CRT och ICD).
• Identifiering och initial handläggning av icke-kirurgiska komplikationer till device behandling (exempelvis pacemaker medierad takykardi, pacing inducerad kardiomyopati).
• Handläggning av komplikationer till pacemakerkirurgi.
</t>
    </r>
    <r>
      <rPr>
        <b/>
        <sz val="9"/>
        <color rgb="FF1B3A5C"/>
        <rFont val="Arial"/>
        <family val="2"/>
      </rPr>
      <t xml:space="preserve">
Arytmier och synkope › Takykardier · s. 11 · Socialstyrelsens mål: STc6, STc9
</t>
    </r>
    <r>
      <rPr>
        <sz val="9"/>
        <color rgb="FF000000"/>
        <rFont val="Arial"/>
        <family val="2"/>
      </rPr>
      <t>• Indikationer och komplikationer vid ICD-behandling samt genomföra avläsning med programmerare.</t>
    </r>
  </si>
  <si>
    <t>Indikationer, kontraindikationer, komplikationer, och prognos för kateterablation vid SVT, förmaksflimmer/fladder, VT och VES</t>
  </si>
  <si>
    <t>Ordagrant</t>
  </si>
  <si>
    <r>
      <rPr>
        <b/>
        <sz val="9"/>
        <color rgb="FF1B3A5C"/>
        <rFont val="Arial"/>
        <family val="2"/>
      </rPr>
      <t xml:space="preserve">Arytmier och synkope › Takykardier · s. 12 · Socialstyrelsens mål: STc6, STc9
</t>
    </r>
    <r>
      <rPr>
        <sz val="9"/>
        <color rgb="FF000000"/>
        <rFont val="Arial"/>
        <family val="2"/>
      </rPr>
      <t xml:space="preserve">• Indikationer, komplikationer och prognos vid elektrofysiologisk undersökning och ablationsbehandling vid supraventrikulär takykardi.
• Indikationer, kontraindikationer, komplikationer och prognos för invasiva behandlingsmetoder såsom kateterablation och kirurgi vid ventrikulära extraslag och ventrikulär takykardi.
</t>
    </r>
    <r>
      <rPr>
        <b/>
        <sz val="9"/>
        <color rgb="FF1B3A5C"/>
        <rFont val="Arial"/>
        <family val="2"/>
      </rPr>
      <t xml:space="preserve">
Arytmier och synkope › Förmaksflimmer/Förmaksfladder · s. 12 · Socialstyrelsens mål: STc6, STc9
</t>
    </r>
    <r>
      <rPr>
        <sz val="9"/>
        <color rgb="FF000000"/>
        <rFont val="Arial"/>
        <family val="2"/>
      </rPr>
      <t>• Indikationer, kontraindikationer, komplikationer och prognos för invasiva behandlingsmetoder såsom kateterablation och kirurgi inklusive ocklusion av förmaksörat.</t>
    </r>
  </si>
  <si>
    <t>Indikationer och kontraindikationer av elkonvertering: planering (antikoagulation, eko, elektrolyter), sedering i samråd med narkos, val av energi, hantering av misslyckad konvertering</t>
  </si>
  <si>
    <t>Bygger på SvKF</t>
  </si>
  <si>
    <r>
      <rPr>
        <b/>
        <sz val="9"/>
        <color rgb="FF1B3A5C"/>
        <rFont val="Arial"/>
        <family val="2"/>
      </rPr>
      <t xml:space="preserve">Arytmier och synkope › Förmaksflimmer/Förmaksfladder · s. 12 · Socialstyrelsens mål: STc6, STc9
</t>
    </r>
    <r>
      <rPr>
        <sz val="9"/>
        <color rgb="FF000000"/>
        <rFont val="Arial"/>
        <family val="2"/>
      </rPr>
      <t xml:space="preserve">• Farmakologisk konvertering och elkonvertering.
</t>
    </r>
    <r>
      <rPr>
        <b/>
        <sz val="9"/>
        <color rgb="FF1B3A5C"/>
        <rFont val="Arial"/>
        <family val="2"/>
      </rPr>
      <t xml:space="preserve">
Akut omhändertagande av livshotande kardiologiska tillstånd · s. 8 · Socialstyrelsens mål: STc6
</t>
    </r>
    <r>
      <rPr>
        <sz val="9"/>
        <color rgb="FF000000"/>
        <rFont val="Arial"/>
        <family val="2"/>
      </rPr>
      <t xml:space="preserve">• Akut elkonvertering och extern pacing.
</t>
    </r>
    <r>
      <rPr>
        <b/>
        <sz val="9"/>
        <color rgb="FF1B3A5C"/>
        <rFont val="Arial"/>
        <family val="2"/>
      </rPr>
      <t xml:space="preserve">
Rekommendationslista – kompetensnivåer för färdigheter · s. 23
</t>
    </r>
    <r>
      <rPr>
        <sz val="9"/>
        <color rgb="FF000000"/>
        <rFont val="Arial"/>
        <family val="2"/>
      </rPr>
      <t>• Elkonvertering — nivå Sverige: 5, ESC: 5</t>
    </r>
  </si>
  <si>
    <t>Uppföljning och monitorering av pacemaker/ICD/CRT/ILR</t>
  </si>
  <si>
    <t>Bygger på SvKF</t>
  </si>
  <si>
    <r>
      <rPr>
        <b/>
        <sz val="9"/>
        <color rgb="FF1B3A5C"/>
        <rFont val="Arial"/>
        <family val="2"/>
      </rPr>
      <t xml:space="preserve">Arytmier och synkope › Bradykardier och device · s. 12 · Socialstyrelsens mål: STc6, STc9
</t>
    </r>
    <r>
      <rPr>
        <sz val="9"/>
        <color rgb="FF000000"/>
        <rFont val="Arial"/>
        <family val="2"/>
      </rPr>
      <t>• Pacemaker- och ICD-avläsning samt basal programmering:
    – Interrogera en pacemaker/ICD. Genomföra tröskelvärdestest, sensingtest, analysera impedans.
    – Bedöma basal pacemaker/ICD diagnostik såsom andel pacing, förekomst av takyarytmier, batteritid, frekvenshistogram.
    – Interrogera en ICD och avgöra om det förekommit terapier samt avgöra om dessa varit adekvata.
• Indikation för och utredning med Implantable loop recorder (ILR).</t>
    </r>
  </si>
  <si>
    <t>Patientinformation om livsstil, träning, arbete och körkort vid arytmier.</t>
  </si>
  <si>
    <t>Bygger på SvKF</t>
  </si>
  <si>
    <r>
      <rPr>
        <b/>
        <sz val="9"/>
        <color rgb="FF1B3A5C"/>
        <rFont val="Arial"/>
        <family val="2"/>
      </rPr>
      <t xml:space="preserve">Arytmier och synkope · s. 11 · Socialstyrelsens mål: STc6, STc9
</t>
    </r>
    <r>
      <rPr>
        <sz val="9"/>
        <color rgb="FF000000"/>
        <rFont val="Arial"/>
        <family val="2"/>
      </rPr>
      <t xml:space="preserve">• Implikationer för yrkesutövning, idrottande och behörighet för körkort.
</t>
    </r>
    <r>
      <rPr>
        <b/>
        <sz val="9"/>
        <color rgb="FF1B3A5C"/>
        <rFont val="Arial"/>
        <family val="2"/>
      </rPr>
      <t xml:space="preserve">
Kardiologisk rehabilitering · s. 18 · Socialstyrelsens mål: STc12, STc13
</t>
    </r>
    <r>
      <rPr>
        <sz val="9"/>
        <color rgb="FF000000"/>
        <rFont val="Arial"/>
        <family val="2"/>
      </rPr>
      <t xml:space="preserve">• Trafikföreskrifter vid hjärtsjukdom.
</t>
    </r>
    <r>
      <rPr>
        <b/>
        <sz val="9"/>
        <color rgb="FF1B3A5C"/>
        <rFont val="Arial"/>
        <family val="2"/>
      </rPr>
      <t xml:space="preserve">
Idrottskardiologi · s. 19 · Socialstyrelsens mål: STc9, STc10, STc12
</t>
    </r>
    <r>
      <rPr>
        <sz val="9"/>
        <color rgb="FF000000"/>
        <rFont val="Arial"/>
        <family val="2"/>
      </rPr>
      <t>• Rådgivning angående fysisk aktivitet vid hjärtsjukdom.</t>
    </r>
  </si>
  <si>
    <t>Grundläggande kunskap om handläggning av device i samband med MR undersökning</t>
  </si>
  <si>
    <t>Ordagrant</t>
  </si>
  <si>
    <r>
      <rPr>
        <b/>
        <sz val="9"/>
        <color rgb="FF1B3A5C"/>
        <rFont val="Arial"/>
        <family val="2"/>
      </rPr>
      <t xml:space="preserve">Arytmier och synkope › Bradykardier och device · s. 12 · Socialstyrelsens mål: STc6, STc9
</t>
    </r>
    <r>
      <rPr>
        <sz val="9"/>
        <color rgb="FF000000"/>
        <rFont val="Arial"/>
        <family val="2"/>
      </rPr>
      <t xml:space="preserve">• Grundläggande kunskap om handläggning av device i samband med MR undersökning
</t>
    </r>
    <r>
      <rPr>
        <b/>
        <sz val="9"/>
        <color rgb="FF1B3A5C"/>
        <rFont val="Arial"/>
        <family val="2"/>
      </rPr>
      <t xml:space="preserve">
Noninvasiv bild- och funktionsdiagnostik › Allmänt · s. 20 · Socialstyrelsens mål: STc7
</t>
    </r>
    <r>
      <rPr>
        <sz val="9"/>
        <color rgb="FF000000"/>
        <rFont val="Arial"/>
        <family val="2"/>
      </rPr>
      <t>• Säkerhet relaterat till medicintekniska produkter vid MR-undersökningar.</t>
    </r>
  </si>
  <si>
    <t>Hantering av device vid elektiv och akut kirurgi: elektrokaustik, defibrilleringsomläggning, peri-operativ programmering</t>
  </si>
  <si>
    <t>Bygger på SvKF</t>
  </si>
  <si>
    <r>
      <rPr>
        <b/>
        <sz val="9"/>
        <color rgb="FF1B3A5C"/>
        <rFont val="Arial"/>
        <family val="2"/>
      </rPr>
      <t xml:space="preserve">Arytmier och synkope › Bradykardier och device · s. 12 · Socialstyrelsens mål: STc6, STc9
</t>
    </r>
    <r>
      <rPr>
        <sz val="9"/>
        <color rgb="FF000000"/>
        <rFont val="Arial"/>
        <family val="2"/>
      </rPr>
      <t xml:space="preserve">• Pacemaker- och ICD-avläsning samt basal programmering:
    – Stänga av takykardibrytande terapier på en ICD (magnet och omprogrammering).
</t>
    </r>
    <r>
      <rPr>
        <b/>
        <sz val="9"/>
        <color rgb="FF1B3A5C"/>
        <rFont val="Arial"/>
        <family val="2"/>
      </rPr>
      <t xml:space="preserve">
Akut omhändertagande av livshotande kardiologiska tillstånd · s. 8 · Socialstyrelsens mål: STc6
</t>
    </r>
    <r>
      <rPr>
        <sz val="9"/>
        <color rgb="FF000000"/>
        <rFont val="Arial"/>
        <family val="2"/>
      </rPr>
      <t xml:space="preserve">• Indikationer för ICD samt inaktivering med programmerare respektive magnet.
</t>
    </r>
    <r>
      <rPr>
        <b/>
        <sz val="9"/>
        <color rgb="FF1B3A5C"/>
        <rFont val="Arial"/>
        <family val="2"/>
      </rPr>
      <t xml:space="preserve">
Arytmier och synkope › Takykardier · s. 12 · Socialstyrelsens mål: STc6, STc9
</t>
    </r>
    <r>
      <rPr>
        <sz val="9"/>
        <color rgb="FF000000"/>
        <rFont val="Arial"/>
        <family val="2"/>
      </rPr>
      <t xml:space="preserve">• Inaktivering av en ICD med magnet och programmerare samt avslutande av ICD-behandling i livets slutskede.
</t>
    </r>
    <r>
      <rPr>
        <b/>
        <sz val="9"/>
        <color rgb="FF1B3A5C"/>
        <rFont val="Arial"/>
        <family val="2"/>
      </rPr>
      <t xml:space="preserve">
Preoperativ bedömning · s. 22 · Socialstyrelsens mål: specifikt mål saknas
</t>
    </r>
    <r>
      <rPr>
        <sz val="9"/>
        <color rgb="FF000000"/>
        <rFont val="Arial"/>
        <family val="2"/>
      </rPr>
      <t>• Värdera behov av pre-, peri- och postoperativ kardiell monitorering i samband med kirurgi.
• Farmakologiska och icke-farmakologiska interventioner för att optimera den kardiovaskulära risken vid kirurgi.</t>
    </r>
  </si>
  <si>
    <t>Device vid kirurgi nämns inte som eget delmål; momentet att stänga av ICD-terapier gör det.</t>
  </si>
  <si>
    <t>ARYTMI  –  praktiska färdigheter (4 st: 3 ordagrant · 1 egen formulering)</t>
  </si>
  <si>
    <t>Pacemaker samt ICD avläsning, basal programmering och inaktivering av ICD med magnet</t>
  </si>
  <si>
    <t>Ordagrant</t>
  </si>
  <si>
    <r>
      <rPr>
        <b/>
        <sz val="9"/>
        <color rgb="FF1B3A5C"/>
        <rFont val="Arial"/>
        <family val="2"/>
      </rPr>
      <t xml:space="preserve">Arytmier och synkope › Bradykardier och device · s. 12 · Socialstyrelsens mål: STc6, STc9
</t>
    </r>
    <r>
      <rPr>
        <sz val="9"/>
        <color rgb="FF000000"/>
        <rFont val="Arial"/>
        <family val="2"/>
      </rPr>
      <t xml:space="preserve">• Pacemaker- och ICD-avläsning samt basal programmering:
    – Interrogera en pacemaker/ICD. Genomföra tröskelvärdestest, sensingtest, analysera impedans.
    – Omprogrammering av pacing mode samt basfrekvens.
    – Interrogera en ICD och avgöra om det förekommit terapier samt avgöra om dessa varit adekvata.
    – Stänga av takykardibrytande terapier på en ICD (magnet och omprogrammering).
</t>
    </r>
    <r>
      <rPr>
        <b/>
        <sz val="9"/>
        <color rgb="FF1B3A5C"/>
        <rFont val="Arial"/>
        <family val="2"/>
      </rPr>
      <t xml:space="preserve">
Rekommendationslista – kompetensnivåer för färdigheter · s. 23
</t>
    </r>
    <r>
      <rPr>
        <sz val="9"/>
        <color rgb="FF000000"/>
        <rFont val="Arial"/>
        <family val="2"/>
      </rPr>
      <t xml:space="preserve">• Basal pacemaker-programmering och ICD-avläsning — nivå Sverige: 4, ESC: 3
• ICD: Avstängning av chockterapier med programmerare — nivå Sverige: 4, ESC: N/A
</t>
    </r>
    <r>
      <rPr>
        <b/>
        <sz val="9"/>
        <color rgb="FF1B3A5C"/>
        <rFont val="Arial"/>
        <family val="2"/>
      </rPr>
      <t xml:space="preserve">
Plan för genomförande av specialistutbildningen · s. 5
</t>
    </r>
    <r>
      <rPr>
        <sz val="9"/>
        <color rgb="FF000000"/>
        <rFont val="Arial"/>
        <family val="2"/>
      </rPr>
      <t xml:space="preserve">• För att uppfylla målen rekommenderar Svenska Kardiologföreningen att man tjänstgör vid enhet vars verksamhet innefattar:
    – Arytmivård ≥ 6 månader. Denna tjänstgöring bör inkludera minst:
        – Pacemakermottagning ≥ 2 veckor (auskultation och egen färdighetsträning) samt återkommande kontroller inom slutenvård.
</t>
    </r>
    <r>
      <rPr>
        <b/>
        <sz val="9"/>
        <color rgb="FF1B3A5C"/>
        <rFont val="Arial"/>
        <family val="2"/>
      </rPr>
      <t xml:space="preserve">
Arytmier och synkope › Takykardier · s. 12 · Socialstyrelsens mål: STc6, STc9
</t>
    </r>
    <r>
      <rPr>
        <sz val="9"/>
        <color rgb="FF000000"/>
        <rFont val="Arial"/>
        <family val="2"/>
      </rPr>
      <t>• Inaktivering av en ICD med magnet och programmerare samt avslutande av ICD-behandling i livets slutskede.</t>
    </r>
  </si>
  <si>
    <t>TILT-körkort</t>
  </si>
  <si>
    <t>Egen formulering</t>
  </si>
  <si>
    <r>
      <rPr>
        <i/>
        <sz val="9"/>
        <color rgb="FF595959"/>
        <rFont val="Arial"/>
        <family val="2"/>
      </rPr>
      <t xml:space="preserve">Närliggande i SvKF 2022:
</t>
    </r>
    <r>
      <rPr>
        <b/>
        <sz val="9"/>
        <color rgb="FF1B3A5C"/>
        <rFont val="Arial"/>
        <family val="2"/>
      </rPr>
      <t xml:space="preserve">Arytmier och synkope › Synkope · s. 12 · Socialstyrelsens mål: STc6, STc9
</t>
    </r>
    <r>
      <rPr>
        <sz val="9"/>
        <color rgb="FF000000"/>
        <rFont val="Arial"/>
        <family val="2"/>
      </rPr>
      <t>• Strukturerad utredning.</t>
    </r>
  </si>
  <si>
    <t>TILT nämns inte i SvKF 2022.</t>
  </si>
  <si>
    <t>Elkonvertering</t>
  </si>
  <si>
    <t>Ordagrant</t>
  </si>
  <si>
    <r>
      <rPr>
        <b/>
        <sz val="9"/>
        <color rgb="FF1B3A5C"/>
        <rFont val="Arial"/>
        <family val="2"/>
      </rPr>
      <t xml:space="preserve">Arytmier och synkope › Förmaksflimmer/Förmaksfladder · s. 12 · Socialstyrelsens mål: STc6, STc9
</t>
    </r>
    <r>
      <rPr>
        <sz val="9"/>
        <color rgb="FF000000"/>
        <rFont val="Arial"/>
        <family val="2"/>
      </rPr>
      <t xml:space="preserve">• Farmakologisk konvertering och elkonvertering.
</t>
    </r>
    <r>
      <rPr>
        <b/>
        <sz val="9"/>
        <color rgb="FF1B3A5C"/>
        <rFont val="Arial"/>
        <family val="2"/>
      </rPr>
      <t xml:space="preserve">
Rekommendationslista – kompetensnivåer för färdigheter · s. 23
</t>
    </r>
    <r>
      <rPr>
        <sz val="9"/>
        <color rgb="FF000000"/>
        <rFont val="Arial"/>
        <family val="2"/>
      </rPr>
      <t>• Elkonvertering — nivå Sverige: 5, ESC: 5</t>
    </r>
  </si>
  <si>
    <t>Esofagus-EKG</t>
  </si>
  <si>
    <t>Ordagrant</t>
  </si>
  <si>
    <r>
      <rPr>
        <b/>
        <sz val="9"/>
        <color rgb="FF1B3A5C"/>
        <rFont val="Arial"/>
        <family val="2"/>
      </rPr>
      <t xml:space="preserve">Arytmier och synkope › Takykardier · s. 11 · Socialstyrelsens mål: STc6, STc9
</t>
    </r>
    <r>
      <rPr>
        <sz val="9"/>
        <color rgb="FF000000"/>
        <rFont val="Arial"/>
        <family val="2"/>
      </rPr>
      <t xml:space="preserve">• Genomförande och tolkning av esofagus-EKG.
</t>
    </r>
    <r>
      <rPr>
        <b/>
        <sz val="9"/>
        <color rgb="FF1B3A5C"/>
        <rFont val="Arial"/>
        <family val="2"/>
      </rPr>
      <t xml:space="preserve">
Rekommendationslista – kompetensnivåer för färdigheter · s. 23
</t>
    </r>
    <r>
      <rPr>
        <sz val="9"/>
        <color rgb="FF000000"/>
        <rFont val="Arial"/>
        <family val="2"/>
      </rPr>
      <t>• Esofagus-EKG — nivå Sverige: 5, ESC: 4</t>
    </r>
  </si>
  <si>
    <t>⏱  TID &amp; PLACERINGAR</t>
  </si>
  <si>
    <t>Uppehåll flyttar fram ditt slutdatum automatiskt  ·  placeringar summeras i veckor</t>
  </si>
  <si>
    <t>ST-tid</t>
  </si>
  <si>
    <t>Fylls i på fliken Bakgrund.</t>
  </si>
  <si>
    <t>Planerad ST-längd (år)</t>
  </si>
  <si>
    <t>Förvalt 7,5 år (internmedicin och kardiologi). Ändra om din ST-plan har en annan längd.</t>
  </si>
  <si>
    <t>Uppehåll som förlänger ST</t>
  </si>
  <si>
    <t>= ST-startdatum + planerad ST-längd + uppehåll. Visas även på Bakgrund och Dashboard.</t>
  </si>
  <si>
    <t>Uppehåll – föräldraledighet, forskning, tjänstledighet m.m.</t>
  </si>
  <si>
    <t>En rad per period. Omfattning = hur stor del av heltid du var ledig: 100 % = helt ledig, 50 % = t.ex. halvtidsforskning eller 50 % föräldraledighet. Lämnar du Omfattning tomt räknas 100 %.</t>
  </si>
  <si>
    <t>Från</t>
  </si>
  <si>
    <t>Till</t>
  </si>
  <si>
    <t>Omfattning</t>
  </si>
  <si>
    <t>Dagar</t>
  </si>
  <si>
    <t>Summa uppehåll</t>
  </si>
  <si>
    <t>Placeringar – veckor per placering</t>
  </si>
  <si>
    <t>Välj placering och fyll i från- och till-datum, så räknas veckorna ut. Har du inga datum? Skriv antalet veckor direkt i kolumnen Veckor.</t>
  </si>
  <si>
    <t>Summa veckor</t>
  </si>
  <si>
    <t>Akuten</t>
  </si>
  <si>
    <t>Avdelning</t>
  </si>
  <si>
    <t>HIA</t>
  </si>
  <si>
    <t>Annat</t>
  </si>
  <si>
    <t>Veckor</t>
  </si>
  <si>
    <t>📋  DELMÅL INTERNMEDICIN  ·  SOSFS 2015:8</t>
  </si>
  <si>
    <t>Klicka på en cell i kolumnen Status och välj 🟢 Klar eller ❌ Ej klar. Delmål a, b och c1–c5 gäller även kardiologi och visas automatiskt på fliken Delmål kardiologi.</t>
  </si>
  <si>
    <t>DELMÅL A   (gemensamma för internmedicin och kardiologi)</t>
  </si>
  <si>
    <t>Delmål</t>
  </si>
  <si>
    <t>Uppföljning</t>
  </si>
  <si>
    <t>Sign</t>
  </si>
  <si>
    <t>Intyg kurs
Intyg klinisk tjänstgöring</t>
  </si>
  <si>
    <t>❌ Ej klar</t>
  </si>
  <si>
    <t>Intyg klinisk tjänstgöring</t>
  </si>
  <si>
    <t>Systematisk kvalitets och patientsäkerhetsarbete</t>
  </si>
  <si>
    <t>Intyg kvalitets- och utv.arbete
Intyg klinisk tjänstgöring</t>
  </si>
  <si>
    <t>Intyg vetenskapligt arbete
Intyg kurs
Intyg klinisk tjänstgöring</t>
  </si>
  <si>
    <t>DS Utvecklingsprogram</t>
  </si>
  <si>
    <t>Intyg kurs</t>
  </si>
  <si>
    <t>DELMÅL B   (gemensamma för internmedicin och kardiologi)</t>
  </si>
  <si>
    <t>DELMÅL C   Internmedicin</t>
  </si>
  <si>
    <t>Handlägga de vanligaste och viktigaste sjukdomarna bland de invärtesmedicinska basspecialiteterna under de första dygnen</t>
  </si>
  <si>
    <t>Handlägga de vanligaste och viktigaste tillstånden inom övriga angränsande basspecialiteter under de första dygnen</t>
  </si>
  <si>
    <t>Behärska bedömning av medicinsk angelägenhetsgrad och prioritering</t>
  </si>
  <si>
    <t>Bedöma behov av remittering till annan specialist</t>
  </si>
  <si>
    <t>Handlägga somatisk sjukdom hos patient med psykiatrisk sjukdom, beroende och psykosomatik</t>
  </si>
  <si>
    <t>Ha kunskap om helhetssyn vid multipla diagnoser</t>
  </si>
  <si>
    <t>Katastrofmedicin</t>
  </si>
  <si>
    <t>📋  DELMÅL KARDIOLOGI  ·  SOSFS 2015:8</t>
  </si>
  <si>
    <t>Delmål a, b och c1–c5 är gemensamma med internmedicin: markera dem på fliken Delmål internmedicin så visas de här (grå fält). Delmål c6–c13 markerar du här.</t>
  </si>
  <si>
    <t>DELMÅL A   (gemensamma – markeras på fliken Delmål internmedicin)</t>
  </si>
  <si>
    <t>DELMÅL B   (gemensamma – markeras på fliken Delmål internmedicin)</t>
  </si>
  <si>
    <t>DELMÅL C   Kardiologi   (c1–c5 samma som för internmedicin)</t>
  </si>
  <si>
    <t>Dagar i ST (utan uppehåll)</t>
  </si>
  <si>
    <t>Placeringar (veckor) – fylls i på fliken Tid &amp; placeringar</t>
  </si>
  <si>
    <t>Delmål enligt SOSFS 2015:8 – bockas av på flikarna Delmål internmedicin och Delmål kardiologi</t>
  </si>
  <si>
    <t>Målbeskrivning</t>
  </si>
  <si>
    <t>Klara</t>
  </si>
  <si>
    <t>🩺  Internmedicin</t>
  </si>
  <si>
    <t>🫀  Kardiologi</t>
  </si>
  <si>
    <t>EJ KLARA LÄRANDEMÅL – sammanställning från alla block</t>
  </si>
  <si>
    <t>Genererad 2026-10-15 11:19</t>
  </si>
  <si>
    <t>Föreslagen bedömning</t>
  </si>
  <si>
    <t>Ischemi</t>
  </si>
  <si>
    <t>c7, c12
STc7</t>
  </si>
  <si>
    <t>c7
STc7</t>
  </si>
  <si>
    <t>c10
STc8, STc10</t>
  </si>
  <si>
    <t>c3, c7
STc3, STc7</t>
  </si>
  <si>
    <t>c3, c12
STc3, STc12</t>
  </si>
  <si>
    <t>c11
STc11</t>
  </si>
  <si>
    <t>c10
STc10</t>
  </si>
  <si>
    <t>c1, c6, c7
STc1, STc6, STc7</t>
  </si>
  <si>
    <t>c10, c12
STc10, STc12</t>
  </si>
  <si>
    <t>c6, c11
STc6, STc11</t>
  </si>
  <si>
    <t>c4, c7
STc4, STc7</t>
  </si>
  <si>
    <t>c7, c12
STc7, STc12</t>
  </si>
  <si>
    <t>c3, c6, c7
STc3, STc6, STc7</t>
  </si>
  <si>
    <t>c3, c10
STc3, STc10</t>
  </si>
  <si>
    <t>c6, c7
STc6, STc7</t>
  </si>
  <si>
    <t>c6, c10
STc6, STc8, STc10</t>
  </si>
  <si>
    <t>c7, c9
STc7, STc9</t>
  </si>
  <si>
    <t>c12
STc12</t>
  </si>
  <si>
    <t>b4, c13
STb3, STc13</t>
  </si>
  <si>
    <t>c2
STc2</t>
  </si>
  <si>
    <t>c3
STc3</t>
  </si>
  <si>
    <t>c3, c6
STc3, STc6</t>
  </si>
  <si>
    <t>c2, c3
STc2, STc3</t>
  </si>
  <si>
    <t>c6
STc6</t>
  </si>
  <si>
    <t>c6, c9
STc6, STc9</t>
  </si>
  <si>
    <t>c6, c8
STc6, STc8</t>
  </si>
  <si>
    <t>c3, c6, c9
STc3, STc6, STc9</t>
  </si>
  <si>
    <t>c1, c6
STc1, STc6</t>
  </si>
  <si>
    <t>c4, c6
STc4, STc6</t>
  </si>
  <si>
    <t>b5, c5, c6
STb4, STc5, STc6</t>
  </si>
  <si>
    <t>c3, c6, c8
STc3, STc6, STc8</t>
  </si>
  <si>
    <t>Hjärtsvikt &amp; klaff</t>
  </si>
  <si>
    <t>c8
STc8</t>
  </si>
  <si>
    <t>c3, c8
STc3, STc8</t>
  </si>
  <si>
    <t>c8, c10
STc8, STc10</t>
  </si>
  <si>
    <t>c4, c8
STc4, STc8</t>
  </si>
  <si>
    <t>b5, c5, c8
STb4, STc5, STc8</t>
  </si>
  <si>
    <t>c3, c8, c10
STc3, STc8, STc10</t>
  </si>
  <si>
    <t>b2, c8, c12
STb2, STc8, STc12</t>
  </si>
  <si>
    <t>Arytmi</t>
  </si>
  <si>
    <t>c9
STc9</t>
  </si>
  <si>
    <t>c3, c9
STc3, STc9</t>
  </si>
  <si>
    <t>c9, c10
STc9, STc10</t>
  </si>
  <si>
    <t>c4, c9
STc4, STc9</t>
  </si>
  <si>
    <t>b1, c9
STb1, STc9</t>
  </si>
  <si>
    <t>b1, c9, c13
STb1, STc9, STc13</t>
  </si>
  <si>
    <t>Totalt ej klara lärandemål: 161</t>
  </si>
  <si>
    <t>Sjukdomar att kunna handlägga: AKS / KKS / Myoperikardit / Aortadissektion / Lungemboli</t>
  </si>
  <si>
    <r>
      <rPr>
        <b/>
        <sz val="10"/>
        <color rgb="FF333333"/>
        <rFont val="Arial"/>
        <family val="2"/>
      </rPr>
      <t>HIA-larminskolning</t>
    </r>
    <r>
      <rPr>
        <b/>
        <sz val="9"/>
        <color rgb="FF2E75B6"/>
        <rFont val="Arial"/>
        <family val="2"/>
      </rPr>
      <t xml:space="preserve">
Uppnås: </t>
    </r>
    <r>
      <rPr>
        <sz val="9"/>
        <color rgb="FF333333"/>
        <rFont val="Arial"/>
        <family val="2"/>
      </rPr>
      <t>Genomför HIA-inskolningen (3 veckor). Gå sedan HIA-larm under indirekt handledning tills handledaren bedömer att du kan ta larm självständigt.</t>
    </r>
    <r>
      <rPr>
        <b/>
        <sz val="9"/>
        <color rgb="FF2E75B6"/>
        <rFont val="Arial"/>
        <family val="2"/>
      </rPr>
      <t xml:space="preserve">
Bedöms: </t>
    </r>
    <r>
      <rPr>
        <sz val="9"/>
        <color rgb="FF333333"/>
        <rFont val="Arial"/>
        <family val="2"/>
      </rPr>
      <t>Sit-in eller Mini-CEX på minst ett larmpass, av HIA-ansvarig överläkare. Loggas i ST-pärmen.</t>
    </r>
    <r>
      <rPr>
        <b/>
        <sz val="9"/>
        <color rgb="FF808080"/>
        <rFont val="Arial"/>
        <family val="2"/>
      </rPr>
      <t xml:space="preserve">   Delmål: </t>
    </r>
    <r>
      <rPr>
        <sz val="9"/>
        <color rgb="FF808080"/>
        <rFont val="Arial"/>
        <family val="2"/>
      </rPr>
      <t>c6 · STc6</t>
    </r>
  </si>
  <si>
    <r>
      <rPr>
        <b/>
        <sz val="10"/>
        <color rgb="FF333333"/>
        <rFont val="Arial"/>
        <family val="2"/>
      </rPr>
      <t>Assistera vid angiografier och tolka bilder</t>
    </r>
    <r>
      <rPr>
        <b/>
        <sz val="9"/>
        <color rgb="FF2E75B6"/>
        <rFont val="Arial"/>
        <family val="2"/>
      </rPr>
      <t xml:space="preserve">
Uppnås: </t>
    </r>
    <r>
      <rPr>
        <sz val="9"/>
        <color rgb="FF333333"/>
        <rFont val="Arial"/>
        <family val="2"/>
      </rPr>
      <t>Placering på PCI-lab (SvKF rekommenderar minst 2 veckor). Assistera vid ≥10 koronarangiografier och gå igenom fynd och behandlingsbeslut med operatören. Målnivå 2 för utförande och 3 för tolkning (SvKF).</t>
    </r>
    <r>
      <rPr>
        <b/>
        <sz val="9"/>
        <color rgb="FF2E75B6"/>
        <rFont val="Arial"/>
        <family val="2"/>
      </rPr>
      <t xml:space="preserve">
Bedöms: </t>
    </r>
    <r>
      <rPr>
        <sz val="9"/>
        <color rgb="FF333333"/>
        <rFont val="Arial"/>
        <family val="2"/>
      </rPr>
      <t>CBD eller DOPS på bildtolkning, ≥2 fall, med interventionist. Loggas i ST-pärmen.</t>
    </r>
    <r>
      <rPr>
        <b/>
        <sz val="9"/>
        <color rgb="FF808080"/>
        <rFont val="Arial"/>
        <family val="2"/>
      </rPr>
      <t xml:space="preserve">   Delmål: </t>
    </r>
    <r>
      <rPr>
        <sz val="9"/>
        <color rgb="FF808080"/>
        <rFont val="Arial"/>
        <family val="2"/>
      </rPr>
      <t>c7 · STc7</t>
    </r>
  </si>
  <si>
    <r>
      <rPr>
        <b/>
        <sz val="10"/>
        <color rgb="FF333333"/>
        <rFont val="Arial"/>
        <family val="2"/>
      </rPr>
      <t>Utföra/assistera vid arteriell access (artärnål, radialisstick på angiolab)</t>
    </r>
    <r>
      <rPr>
        <b/>
        <sz val="9"/>
        <color rgb="FF2E75B6"/>
        <rFont val="Arial"/>
        <family val="2"/>
      </rPr>
      <t xml:space="preserve">
Uppnås: </t>
    </r>
    <r>
      <rPr>
        <sz val="9"/>
        <color rgb="FF333333"/>
        <rFont val="Arial"/>
        <family val="2"/>
      </rPr>
      <t>Punktera a. radialis på PCI-lab och lägg artärnål på HIA under direkt handledning (≥5 av varje), tills du klarar momentet med indirekt handledning. Målnivå 3 (SvKF).</t>
    </r>
    <r>
      <rPr>
        <b/>
        <sz val="9"/>
        <color rgb="FF2E75B6"/>
        <rFont val="Arial"/>
        <family val="2"/>
      </rPr>
      <t xml:space="preserve">
Bedöms: </t>
    </r>
    <r>
      <rPr>
        <sz val="9"/>
        <color rgb="FF333333"/>
        <rFont val="Arial"/>
        <family val="2"/>
      </rPr>
      <t>DOPS godkänd av operatör eller specialist. Loggas i ST-pärmen.</t>
    </r>
    <r>
      <rPr>
        <b/>
        <sz val="9"/>
        <color rgb="FF808080"/>
        <rFont val="Arial"/>
        <family val="2"/>
      </rPr>
      <t xml:space="preserve">   Delmål: </t>
    </r>
    <r>
      <rPr>
        <sz val="9"/>
        <color rgb="FF808080"/>
        <rFont val="Arial"/>
        <family val="2"/>
      </rPr>
      <t>c6, c7 · STc6, STc7</t>
    </r>
  </si>
  <si>
    <r>
      <rPr>
        <b/>
        <sz val="10"/>
        <color rgb="FF333333"/>
        <rFont val="Arial"/>
        <family val="2"/>
      </rPr>
      <t>Hemostas efter kateterisering (TR band, femostop)</t>
    </r>
    <r>
      <rPr>
        <b/>
        <sz val="9"/>
        <color rgb="FF2E75B6"/>
        <rFont val="Arial"/>
        <family val="2"/>
      </rPr>
      <t xml:space="preserve">
Uppnås: </t>
    </r>
    <r>
      <rPr>
        <sz val="9"/>
        <color rgb="FF333333"/>
        <rFont val="Arial"/>
        <family val="2"/>
      </rPr>
      <t>Lär dig av sjuksköterska på PCI-lab eller vårdavdelning att lägga och avveckla TR-band och femostop samt att handlägga blödning och hematom vid punktionsstället. ≥5 under handledning. Målnivå 5 (SvKF).</t>
    </r>
    <r>
      <rPr>
        <b/>
        <sz val="9"/>
        <color rgb="FF2E75B6"/>
        <rFont val="Arial"/>
        <family val="2"/>
      </rPr>
      <t xml:space="preserve">
Bedöms: </t>
    </r>
    <r>
      <rPr>
        <sz val="9"/>
        <color rgb="FF333333"/>
        <rFont val="Arial"/>
        <family val="2"/>
      </rPr>
      <t>DOPS av sjuksköterska eller specialist. Loggas i ST-pärmen.</t>
    </r>
    <r>
      <rPr>
        <b/>
        <sz val="9"/>
        <color rgb="FF808080"/>
        <rFont val="Arial"/>
        <family val="2"/>
      </rPr>
      <t xml:space="preserve">   Delmål: </t>
    </r>
    <r>
      <rPr>
        <sz val="9"/>
        <color rgb="FF808080"/>
        <rFont val="Arial"/>
        <family val="2"/>
      </rPr>
      <t>c7 · STc7</t>
    </r>
  </si>
  <si>
    <r>
      <rPr>
        <b/>
        <sz val="10"/>
        <color rgb="FF333333"/>
        <rFont val="Arial"/>
        <family val="2"/>
      </rPr>
      <t>Ischemiövervakning</t>
    </r>
    <r>
      <rPr>
        <b/>
        <sz val="9"/>
        <color rgb="FF2E75B6"/>
        <rFont val="Arial"/>
        <family val="2"/>
      </rPr>
      <t xml:space="preserve">
Uppnås: </t>
    </r>
    <r>
      <rPr>
        <sz val="9"/>
        <color rgb="FF333333"/>
        <rFont val="Arial"/>
        <family val="2"/>
      </rPr>
      <t>Tolka kontinuerlig ST-övervakning och telemetri på HIA och vårdavdelning och agera på larm. Gå igenom ≥5 registreringar med dynamiska förändringar tillsammans med specialist. Målnivå 5 (SvKF).</t>
    </r>
    <r>
      <rPr>
        <b/>
        <sz val="9"/>
        <color rgb="FF2E75B6"/>
        <rFont val="Arial"/>
        <family val="2"/>
      </rPr>
      <t xml:space="preserve">
Bedöms: </t>
    </r>
    <r>
      <rPr>
        <sz val="9"/>
        <color rgb="FF333333"/>
        <rFont val="Arial"/>
        <family val="2"/>
      </rPr>
      <t>Mini-CEX eller CBD på ett fall med ischemilarm. Loggas i ST-pärmen.</t>
    </r>
    <r>
      <rPr>
        <b/>
        <sz val="9"/>
        <color rgb="FF808080"/>
        <rFont val="Arial"/>
        <family val="2"/>
      </rPr>
      <t xml:space="preserve">   Delmål: </t>
    </r>
    <r>
      <rPr>
        <sz val="9"/>
        <color rgb="FF808080"/>
        <rFont val="Arial"/>
        <family val="2"/>
      </rPr>
      <t>c6, c7 · STc6, STc7</t>
    </r>
  </si>
  <si>
    <t>Sjukdomar att kunna handlägga: Som ischemiblocket + Kardiogen chock / Hjärtstopp/post-ROSC / Akut hjärtsvikt/lungödem / Massiv lungemboli / Tamponad / Akuta arytmier/elektrisk storm</t>
  </si>
  <si>
    <r>
      <rPr>
        <b/>
        <sz val="10"/>
        <color rgb="FF333333"/>
        <rFont val="Arial"/>
        <family val="2"/>
      </rPr>
      <t>Artärnål</t>
    </r>
    <r>
      <rPr>
        <b/>
        <sz val="9"/>
        <color rgb="FF2E75B6"/>
        <rFont val="Arial"/>
        <family val="2"/>
      </rPr>
      <t xml:space="preserve">
Uppnås: </t>
    </r>
    <r>
      <rPr>
        <sz val="9"/>
        <color rgb="FF333333"/>
        <rFont val="Arial"/>
        <family val="2"/>
      </rPr>
      <t>Lägg artärnål (a. radialis, gärna ultraljudsledd) på HIA under direkt handledning, ≥5 st, tills du klarar det med indirekt handledning.</t>
    </r>
    <r>
      <rPr>
        <b/>
        <sz val="9"/>
        <color rgb="FF2E75B6"/>
        <rFont val="Arial"/>
        <family val="2"/>
      </rPr>
      <t xml:space="preserve">
Bedöms: </t>
    </r>
    <r>
      <rPr>
        <sz val="9"/>
        <color rgb="FF333333"/>
        <rFont val="Arial"/>
        <family val="2"/>
      </rPr>
      <t>DOPS godkänd av specialist (kardiolog eller anestesiolog). Loggas i ST-pärmen.</t>
    </r>
    <r>
      <rPr>
        <b/>
        <sz val="9"/>
        <color rgb="FF808080"/>
        <rFont val="Arial"/>
        <family val="2"/>
      </rPr>
      <t xml:space="preserve">   Delmål: </t>
    </r>
    <r>
      <rPr>
        <sz val="9"/>
        <color rgb="FF808080"/>
        <rFont val="Arial"/>
        <family val="2"/>
      </rPr>
      <t>c6 · STc6</t>
    </r>
  </si>
  <si>
    <r>
      <rPr>
        <b/>
        <sz val="10"/>
        <color rgb="FF333333"/>
        <rFont val="Arial"/>
        <family val="2"/>
      </rPr>
      <t>Leda hjärtstopp</t>
    </r>
    <r>
      <rPr>
        <b/>
        <sz val="9"/>
        <color rgb="FF2E75B6"/>
        <rFont val="Arial"/>
        <family val="2"/>
      </rPr>
      <t xml:space="preserve">
Uppnås: </t>
    </r>
    <r>
      <rPr>
        <sz val="9"/>
        <color rgb="FF333333"/>
        <rFont val="Arial"/>
        <family val="2"/>
      </rPr>
      <t>Håll A-HLR-utbildningen aktuell. Led ≥2 simulerade hjärtstopp per år och led larm som hjärtjour, med kort strukturerad debriefing efteråt.</t>
    </r>
    <r>
      <rPr>
        <b/>
        <sz val="9"/>
        <color rgb="FF2E75B6"/>
        <rFont val="Arial"/>
        <family val="2"/>
      </rPr>
      <t xml:space="preserve">
Bedöms: </t>
    </r>
    <r>
      <rPr>
        <sz val="9"/>
        <color rgb="FF333333"/>
        <rFont val="Arial"/>
        <family val="2"/>
      </rPr>
      <t>Mini-CEX eller simuleringsbedömning av teamledningen (≥1) samt A-HLR-intyg. Loggas i ST-pärmen.</t>
    </r>
    <r>
      <rPr>
        <b/>
        <sz val="9"/>
        <color rgb="FF808080"/>
        <rFont val="Arial"/>
        <family val="2"/>
      </rPr>
      <t xml:space="preserve">   Delmål: </t>
    </r>
    <r>
      <rPr>
        <sz val="9"/>
        <color rgb="FF808080"/>
        <rFont val="Arial"/>
        <family val="2"/>
      </rPr>
      <t>a1, c6 · STa5, STc6</t>
    </r>
  </si>
  <si>
    <r>
      <rPr>
        <b/>
        <sz val="10"/>
        <color rgb="FF333333"/>
        <rFont val="Arial"/>
        <family val="2"/>
      </rPr>
      <t>Akut perikardiocentes vid tamponad (ultraljudsvägledd)</t>
    </r>
    <r>
      <rPr>
        <b/>
        <sz val="9"/>
        <color rgb="FF2E75B6"/>
        <rFont val="Arial"/>
        <family val="2"/>
      </rPr>
      <t xml:space="preserve">
Uppnås: </t>
    </r>
    <r>
      <rPr>
        <sz val="9"/>
        <color rgb="FF333333"/>
        <rFont val="Arial"/>
        <family val="2"/>
      </rPr>
      <t>Var med vid perikardiocentes när tillfälle ges (HIA eller angiolab) och träna momenten på simulator eller fantom. Målnivå 2 innebär att du deltar under direkt handledning.</t>
    </r>
    <r>
      <rPr>
        <b/>
        <sz val="9"/>
        <color rgb="FF2E75B6"/>
        <rFont val="Arial"/>
        <family val="2"/>
      </rPr>
      <t xml:space="preserve">
Bedöms: </t>
    </r>
    <r>
      <rPr>
        <sz val="9"/>
        <color rgb="FF333333"/>
        <rFont val="Arial"/>
        <family val="2"/>
      </rPr>
      <t>DOPS eller simuleringsbedömning (≥1). Loggas i ST-pärmen.</t>
    </r>
    <r>
      <rPr>
        <b/>
        <sz val="9"/>
        <color rgb="FF808080"/>
        <rFont val="Arial"/>
        <family val="2"/>
      </rPr>
      <t xml:space="preserve">   Delmål: </t>
    </r>
    <r>
      <rPr>
        <sz val="9"/>
        <color rgb="FF808080"/>
        <rFont val="Arial"/>
        <family val="2"/>
      </rPr>
      <t>c6 · STc6</t>
    </r>
  </si>
  <si>
    <r>
      <rPr>
        <b/>
        <sz val="10"/>
        <color rgb="FF333333"/>
        <rFont val="Arial"/>
        <family val="2"/>
      </rPr>
      <t>Extern/transkutan pacing</t>
    </r>
    <r>
      <rPr>
        <b/>
        <sz val="9"/>
        <color rgb="FF2E75B6"/>
        <rFont val="Arial"/>
        <family val="2"/>
      </rPr>
      <t xml:space="preserve">
Uppnås: </t>
    </r>
    <r>
      <rPr>
        <sz val="9"/>
        <color rgb="FF333333"/>
        <rFont val="Arial"/>
        <family val="2"/>
      </rPr>
      <t>Placera pacingelektroder, ställ in frekvens och ström, verifiera elektrisk och mekanisk capture och ge sedering eller smärtlindring. Träna på simulator och genomför ≥2 skarpa eller demonstrerade tillfällen.</t>
    </r>
    <r>
      <rPr>
        <b/>
        <sz val="9"/>
        <color rgb="FF2E75B6"/>
        <rFont val="Arial"/>
        <family val="2"/>
      </rPr>
      <t xml:space="preserve">
Bedöms: </t>
    </r>
    <r>
      <rPr>
        <sz val="9"/>
        <color rgb="FF333333"/>
        <rFont val="Arial"/>
        <family val="2"/>
      </rPr>
      <t>DOPS (≥1). Loggas i ST-pärmen.</t>
    </r>
    <r>
      <rPr>
        <b/>
        <sz val="9"/>
        <color rgb="FF808080"/>
        <rFont val="Arial"/>
        <family val="2"/>
      </rPr>
      <t xml:space="preserve">   Delmål: </t>
    </r>
    <r>
      <rPr>
        <sz val="9"/>
        <color rgb="FF808080"/>
        <rFont val="Arial"/>
        <family val="2"/>
      </rPr>
      <t>c6, c9 · STc6, STc9</t>
    </r>
  </si>
  <si>
    <r>
      <rPr>
        <b/>
        <sz val="10"/>
        <color rgb="FF333333"/>
        <rFont val="Arial"/>
        <family val="2"/>
      </rPr>
      <t>LUCAS</t>
    </r>
    <r>
      <rPr>
        <b/>
        <sz val="9"/>
        <color rgb="FF2E75B6"/>
        <rFont val="Arial"/>
        <family val="2"/>
      </rPr>
      <t xml:space="preserve">
Uppnås: </t>
    </r>
    <r>
      <rPr>
        <sz val="9"/>
        <color rgb="FF333333"/>
        <rFont val="Arial"/>
        <family val="2"/>
      </rPr>
      <t>Instruktion i LUCAS på HIA: montering, start och paus, rytmkontroll och transport till angiolab. Genomför momentet vid simulering eller hjärtstoppsövning.</t>
    </r>
    <r>
      <rPr>
        <b/>
        <sz val="9"/>
        <color rgb="FF2E75B6"/>
        <rFont val="Arial"/>
        <family val="2"/>
      </rPr>
      <t xml:space="preserve">
Bedöms: </t>
    </r>
    <r>
      <rPr>
        <sz val="9"/>
        <color rgb="FF333333"/>
        <rFont val="Arial"/>
        <family val="2"/>
      </rPr>
      <t>Simuleringsbedömning eller sit-in vid larm (≥1). Loggas i ST-pärmen.</t>
    </r>
    <r>
      <rPr>
        <b/>
        <sz val="9"/>
        <color rgb="FF808080"/>
        <rFont val="Arial"/>
        <family val="2"/>
      </rPr>
      <t xml:space="preserve">   Delmål: </t>
    </r>
    <r>
      <rPr>
        <sz val="9"/>
        <color rgb="FF808080"/>
        <rFont val="Arial"/>
        <family val="2"/>
      </rPr>
      <t>c6 · STc6</t>
    </r>
  </si>
  <si>
    <r>
      <rPr>
        <b/>
        <sz val="10"/>
        <color rgb="FF333333"/>
        <rFont val="Arial"/>
        <family val="2"/>
      </rPr>
      <t>Elkonvertering (akut)</t>
    </r>
    <r>
      <rPr>
        <b/>
        <sz val="9"/>
        <color rgb="FF2E75B6"/>
        <rFont val="Arial"/>
        <family val="2"/>
      </rPr>
      <t xml:space="preserve">
Uppnås: </t>
    </r>
    <r>
      <rPr>
        <sz val="9"/>
        <color rgb="FF333333"/>
        <rFont val="Arial"/>
        <family val="2"/>
      </rPr>
      <t>Genomför akuta elkonverteringar på HIA och akuten under handledning: indikation, sedering i samråd med anestesi, synkronisering, energival och åtgärd vid misslyckad konvertering. ≥2 akuta (elektiva tränas i arytmiblocket).</t>
    </r>
    <r>
      <rPr>
        <b/>
        <sz val="9"/>
        <color rgb="FF2E75B6"/>
        <rFont val="Arial"/>
        <family val="2"/>
      </rPr>
      <t xml:space="preserve">
Bedöms: </t>
    </r>
    <r>
      <rPr>
        <sz val="9"/>
        <color rgb="FF333333"/>
        <rFont val="Arial"/>
        <family val="2"/>
      </rPr>
      <t>DOPS godkänd (≥1). Loggas i ST-pärmen.</t>
    </r>
    <r>
      <rPr>
        <b/>
        <sz val="9"/>
        <color rgb="FF808080"/>
        <rFont val="Arial"/>
        <family val="2"/>
      </rPr>
      <t xml:space="preserve">   Delmål: </t>
    </r>
    <r>
      <rPr>
        <sz val="9"/>
        <color rgb="FF808080"/>
        <rFont val="Arial"/>
        <family val="2"/>
      </rPr>
      <t>c6, c9 · STc6, STc9</t>
    </r>
  </si>
  <si>
    <r>
      <rPr>
        <b/>
        <sz val="10"/>
        <color rgb="FF333333"/>
        <rFont val="Arial"/>
        <family val="2"/>
      </rPr>
      <t>ICD inaktivering med magnet</t>
    </r>
    <r>
      <rPr>
        <b/>
        <sz val="9"/>
        <color rgb="FF2E75B6"/>
        <rFont val="Arial"/>
        <family val="2"/>
      </rPr>
      <t xml:space="preserve">
Uppnås: </t>
    </r>
    <r>
      <rPr>
        <sz val="9"/>
        <color rgb="FF333333"/>
        <rFont val="Arial"/>
        <family val="2"/>
      </rPr>
      <t>Lär dig när magnet används (inadekvata chocker, livets slutskede, kirurgi) och vad den gör på ICD respektive pacemaker. Öva på pacemakermottagningen; avstängning med programmerare tränas i arytmiblocket.</t>
    </r>
    <r>
      <rPr>
        <b/>
        <sz val="9"/>
        <color rgb="FF2E75B6"/>
        <rFont val="Arial"/>
        <family val="2"/>
      </rPr>
      <t xml:space="preserve">
Bedöms: </t>
    </r>
    <r>
      <rPr>
        <sz val="9"/>
        <color rgb="FF333333"/>
        <rFont val="Arial"/>
        <family val="2"/>
      </rPr>
      <t>DOPS eller CBD (≥1). Loggas i ST-pärmen.</t>
    </r>
    <r>
      <rPr>
        <b/>
        <sz val="9"/>
        <color rgb="FF808080"/>
        <rFont val="Arial"/>
        <family val="2"/>
      </rPr>
      <t xml:space="preserve">   Delmål: </t>
    </r>
    <r>
      <rPr>
        <sz val="9"/>
        <color rgb="FF808080"/>
        <rFont val="Arial"/>
        <family val="2"/>
      </rPr>
      <t>c6, c9 · STc6, STc9</t>
    </r>
  </si>
  <si>
    <r>
      <rPr>
        <b/>
        <sz val="10"/>
        <color rgb="FF333333"/>
        <rFont val="Arial"/>
        <family val="2"/>
      </rPr>
      <t>EKO vid akuta tillstånd (tamponad, chock, rupturer, akut svikt)</t>
    </r>
    <r>
      <rPr>
        <b/>
        <sz val="9"/>
        <color rgb="FF2E75B6"/>
        <rFont val="Arial"/>
        <family val="2"/>
      </rPr>
      <t xml:space="preserve">
Uppnås: </t>
    </r>
    <r>
      <rPr>
        <sz val="9"/>
        <color rgb="FF333333"/>
        <rFont val="Arial"/>
        <family val="2"/>
      </rPr>
      <t>Gör fokuserat eko på HIA och akuten under handledning: vänster- och högerkammarfunktion, perikardvätska, grova klaffel och vena cava. ≥30 undersökningar som stäms av mot formellt eko.</t>
    </r>
    <r>
      <rPr>
        <b/>
        <sz val="9"/>
        <color rgb="FF2E75B6"/>
        <rFont val="Arial"/>
        <family val="2"/>
      </rPr>
      <t xml:space="preserve">
Bedöms: </t>
    </r>
    <r>
      <rPr>
        <sz val="9"/>
        <color rgb="FF333333"/>
        <rFont val="Arial"/>
        <family val="2"/>
      </rPr>
      <t>DOPS på fokuserat eko (≥2) av ekokunnig specialist. Loggas i ST-pärmen.</t>
    </r>
    <r>
      <rPr>
        <b/>
        <sz val="9"/>
        <color rgb="FF808080"/>
        <rFont val="Arial"/>
        <family val="2"/>
      </rPr>
      <t xml:space="preserve">   Delmål: </t>
    </r>
    <r>
      <rPr>
        <sz val="9"/>
        <color rgb="FF808080"/>
        <rFont val="Arial"/>
        <family val="2"/>
      </rPr>
      <t>c6, c7 · STc6, STc7</t>
    </r>
  </si>
  <si>
    <r>
      <rPr>
        <b/>
        <sz val="10"/>
        <color rgb="FF333333"/>
        <rFont val="Arial"/>
        <family val="2"/>
      </rPr>
      <t>NIV</t>
    </r>
    <r>
      <rPr>
        <b/>
        <sz val="9"/>
        <color rgb="FF2E75B6"/>
        <rFont val="Arial"/>
        <family val="2"/>
      </rPr>
      <t xml:space="preserve">
Uppnås: </t>
    </r>
    <r>
      <rPr>
        <sz val="9"/>
        <color rgb="FF333333"/>
        <rFont val="Arial"/>
        <family val="2"/>
      </rPr>
      <t>Starta och justera CPAP/BiPAP vid kardiogent lungödem: indikation, kontraindikationer, inställningar, övervakning med blodgas och när IVA ska kontaktas. ≥5 patienter under handledning.</t>
    </r>
    <r>
      <rPr>
        <b/>
        <sz val="9"/>
        <color rgb="FF2E75B6"/>
        <rFont val="Arial"/>
        <family val="2"/>
      </rPr>
      <t xml:space="preserve">
Bedöms: </t>
    </r>
    <r>
      <rPr>
        <sz val="9"/>
        <color rgb="FF333333"/>
        <rFont val="Arial"/>
        <family val="2"/>
      </rPr>
      <t>Mini-CEX eller DOPS (≥1). Loggas i ST-pärmen.</t>
    </r>
    <r>
      <rPr>
        <b/>
        <sz val="9"/>
        <color rgb="FF808080"/>
        <rFont val="Arial"/>
        <family val="2"/>
      </rPr>
      <t xml:space="preserve">   Delmål: </t>
    </r>
    <r>
      <rPr>
        <sz val="9"/>
        <color rgb="FF808080"/>
        <rFont val="Arial"/>
        <family val="2"/>
      </rPr>
      <t>c6, c8 · STc6, STc8</t>
    </r>
  </si>
  <si>
    <t>Sjukdomar att kunna handlägga: Hjärtsvikt / Aortastenos / AI / MI / Mitralisstenos / TI / HCM / DCM / Amyloidos / Endokardit / Pulmonell hypertension / ACHD</t>
  </si>
  <si>
    <r>
      <rPr>
        <b/>
        <sz val="10"/>
        <color rgb="FF333333"/>
        <rFont val="Arial"/>
        <family val="2"/>
      </rPr>
      <t>Högerkateterisering</t>
    </r>
    <r>
      <rPr>
        <b/>
        <sz val="9"/>
        <color rgb="FF2E75B6"/>
        <rFont val="Arial"/>
        <family val="2"/>
      </rPr>
      <t xml:space="preserve">
Uppnås: </t>
    </r>
    <r>
      <rPr>
        <sz val="9"/>
        <color rgb="FF333333"/>
        <rFont val="Arial"/>
        <family val="2"/>
      </rPr>
      <t>Auskultation på enhet för avancerad hjärtsvikt och PAH (SvKF rekommenderar minst 1 månad). Delta vid ≥5 högerkateteriseringar och tolka tryck och flöden (RA, PA, PAWP, CO, PVR) med operatören. Målnivå 2 för genomförande och 4 för tolkning (SvKF).</t>
    </r>
    <r>
      <rPr>
        <b/>
        <sz val="9"/>
        <color rgb="FF2E75B6"/>
        <rFont val="Arial"/>
        <family val="2"/>
      </rPr>
      <t xml:space="preserve">
Bedöms: </t>
    </r>
    <r>
      <rPr>
        <sz val="9"/>
        <color rgb="FF333333"/>
        <rFont val="Arial"/>
        <family val="2"/>
      </rPr>
      <t>CBD på tolkning av ≥2 fall. Loggas i ST-pärmen.</t>
    </r>
    <r>
      <rPr>
        <b/>
        <sz val="9"/>
        <color rgb="FF808080"/>
        <rFont val="Arial"/>
        <family val="2"/>
      </rPr>
      <t xml:space="preserve">   Delmål: </t>
    </r>
    <r>
      <rPr>
        <sz val="9"/>
        <color rgb="FF808080"/>
        <rFont val="Arial"/>
        <family val="2"/>
      </rPr>
      <t>c7, c8 · STc7, STc8</t>
    </r>
  </si>
  <si>
    <r>
      <rPr>
        <b/>
        <sz val="10"/>
        <color rgb="FF333333"/>
        <rFont val="Arial"/>
        <family val="2"/>
      </rPr>
      <t>Basal EKO och tolkning samt tillämpning av resultat</t>
    </r>
    <r>
      <rPr>
        <b/>
        <sz val="9"/>
        <color rgb="FF2E75B6"/>
        <rFont val="Arial"/>
        <family val="2"/>
      </rPr>
      <t xml:space="preserve">
Uppnås: </t>
    </r>
    <r>
      <rPr>
        <sz val="9"/>
        <color rgb="FF333333"/>
        <rFont val="Arial"/>
        <family val="2"/>
      </rPr>
      <t>Gör egna TTE under handledning på ekolab/klinisk fysiologi: kammarfunktion och dimensioner, klaffar med doppler, perikard och vena cava. ≥50 egna undersökningar som granskas av ekokardiograf eller specialist. Målnivå 5 (SvKF).</t>
    </r>
    <r>
      <rPr>
        <b/>
        <sz val="9"/>
        <color rgb="FF2E75B6"/>
        <rFont val="Arial"/>
        <family val="2"/>
      </rPr>
      <t xml:space="preserve">
Bedöms: </t>
    </r>
    <r>
      <rPr>
        <sz val="9"/>
        <color rgb="FF333333"/>
        <rFont val="Arial"/>
        <family val="2"/>
      </rPr>
      <t>DOPS på TTE (≥2). Loggas i ST-pärmen.</t>
    </r>
    <r>
      <rPr>
        <b/>
        <sz val="9"/>
        <color rgb="FF808080"/>
        <rFont val="Arial"/>
        <family val="2"/>
      </rPr>
      <t xml:space="preserve">   Delmål: </t>
    </r>
    <r>
      <rPr>
        <sz val="9"/>
        <color rgb="FF808080"/>
        <rFont val="Arial"/>
        <family val="2"/>
      </rPr>
      <t>c7, c8 · STc7, STc8</t>
    </r>
  </si>
  <si>
    <r>
      <rPr>
        <b/>
        <sz val="10"/>
        <color rgb="FF333333"/>
        <rFont val="Arial"/>
        <family val="2"/>
      </rPr>
      <t>NIV och CPAP vid hjärtsvikt</t>
    </r>
    <r>
      <rPr>
        <b/>
        <sz val="9"/>
        <color rgb="FF2E75B6"/>
        <rFont val="Arial"/>
        <family val="2"/>
      </rPr>
      <t xml:space="preserve">
Uppnås: </t>
    </r>
    <r>
      <rPr>
        <sz val="9"/>
        <color rgb="FF333333"/>
        <rFont val="Arial"/>
        <family val="2"/>
      </rPr>
      <t>Starta CPAP/BiPAP vid akut hjärtsvikt och lungödem på avdelning eller HIA, följ upp med blodgas och avsluta behandlingen. ≥5 patienter under handledning. Målnivå 5 (SvKF).</t>
    </r>
    <r>
      <rPr>
        <b/>
        <sz val="9"/>
        <color rgb="FF2E75B6"/>
        <rFont val="Arial"/>
        <family val="2"/>
      </rPr>
      <t xml:space="preserve">
Bedöms: </t>
    </r>
    <r>
      <rPr>
        <sz val="9"/>
        <color rgb="FF333333"/>
        <rFont val="Arial"/>
        <family val="2"/>
      </rPr>
      <t>Mini-CEX (≥1). Loggas i ST-pärmen.</t>
    </r>
    <r>
      <rPr>
        <b/>
        <sz val="9"/>
        <color rgb="FF808080"/>
        <rFont val="Arial"/>
        <family val="2"/>
      </rPr>
      <t xml:space="preserve">   Delmål: </t>
    </r>
    <r>
      <rPr>
        <sz val="9"/>
        <color rgb="FF808080"/>
        <rFont val="Arial"/>
        <family val="2"/>
      </rPr>
      <t>c6, c8 · STc6, STc8</t>
    </r>
  </si>
  <si>
    <t>Sjukdomar att kunna handlägga: Förmaksflimmer / Förmaksfladder / AVNRT / AVRT/WPW / VT / AV-block I–III / SSS / Synkope</t>
  </si>
  <si>
    <r>
      <rPr>
        <b/>
        <sz val="10"/>
        <color rgb="FF333333"/>
        <rFont val="Arial"/>
        <family val="2"/>
      </rPr>
      <t>Pacemaker samt ICD avläsning, basal programmering och inaktivering av ICD med magnet</t>
    </r>
    <r>
      <rPr>
        <b/>
        <sz val="9"/>
        <color rgb="FF2E75B6"/>
        <rFont val="Arial"/>
        <family val="2"/>
      </rPr>
      <t xml:space="preserve">
Uppnås: </t>
    </r>
    <r>
      <rPr>
        <sz val="9"/>
        <color rgb="FF333333"/>
        <rFont val="Arial"/>
        <family val="2"/>
      </rPr>
      <t>Placering på pacemakermottagningen (SvKF rekommenderar minst 2 veckor). Gör ≥20 egna avläsningar: tröskel, sensing, impedans, batteri, arytmiepisoder och ICD-terapier. Ändra mode och basfrekvens och stäng av takyterapi med programmerare och magnet under handledning. Målnivå 4 (SvKF).</t>
    </r>
    <r>
      <rPr>
        <b/>
        <sz val="9"/>
        <color rgb="FF2E75B6"/>
        <rFont val="Arial"/>
        <family val="2"/>
      </rPr>
      <t xml:space="preserve">
Bedöms: </t>
    </r>
    <r>
      <rPr>
        <sz val="9"/>
        <color rgb="FF333333"/>
        <rFont val="Arial"/>
        <family val="2"/>
      </rPr>
      <t>DOPS (≥2) av device-ansvarig läkare eller fysiolog. Loggas i ST-pärmen.</t>
    </r>
    <r>
      <rPr>
        <b/>
        <sz val="9"/>
        <color rgb="FF808080"/>
        <rFont val="Arial"/>
        <family val="2"/>
      </rPr>
      <t xml:space="preserve">   Delmål: </t>
    </r>
    <r>
      <rPr>
        <sz val="9"/>
        <color rgb="FF808080"/>
        <rFont val="Arial"/>
        <family val="2"/>
      </rPr>
      <t>c9 · STc9</t>
    </r>
  </si>
  <si>
    <r>
      <rPr>
        <b/>
        <sz val="10"/>
        <color rgb="FF333333"/>
        <rFont val="Arial"/>
        <family val="2"/>
      </rPr>
      <t>TILT-körkort</t>
    </r>
    <r>
      <rPr>
        <b/>
        <sz val="9"/>
        <color rgb="FF2E75B6"/>
        <rFont val="Arial"/>
        <family val="2"/>
      </rPr>
      <t xml:space="preserve">
Uppnås: </t>
    </r>
    <r>
      <rPr>
        <sz val="9"/>
        <color rgb="FF333333"/>
        <rFont val="Arial"/>
        <family val="2"/>
      </rPr>
      <t>Delta vid TILT-undersökningar: indikation, protokoll, carotissinusmassage och tolkning av svarstyp. Utför ≥5 under handledning.</t>
    </r>
    <r>
      <rPr>
        <b/>
        <sz val="9"/>
        <color rgb="FF2E75B6"/>
        <rFont val="Arial"/>
        <family val="2"/>
      </rPr>
      <t xml:space="preserve">
Bedöms: </t>
    </r>
    <r>
      <rPr>
        <sz val="9"/>
        <color rgb="FF333333"/>
        <rFont val="Arial"/>
        <family val="2"/>
      </rPr>
      <t>Godkänt TILT-körkort. Loggas i ST-pärmen.</t>
    </r>
    <r>
      <rPr>
        <b/>
        <sz val="9"/>
        <color rgb="FF808080"/>
        <rFont val="Arial"/>
        <family val="2"/>
      </rPr>
      <t xml:space="preserve">   Delmål: </t>
    </r>
    <r>
      <rPr>
        <sz val="9"/>
        <color rgb="FF808080"/>
        <rFont val="Arial"/>
        <family val="2"/>
      </rPr>
      <t>c9 · STc9</t>
    </r>
  </si>
  <si>
    <r>
      <rPr>
        <b/>
        <sz val="10"/>
        <color rgb="FF333333"/>
        <rFont val="Arial"/>
        <family val="2"/>
      </rPr>
      <t>Elkonvertering</t>
    </r>
    <r>
      <rPr>
        <b/>
        <sz val="9"/>
        <color rgb="FF2E75B6"/>
        <rFont val="Arial"/>
        <family val="2"/>
      </rPr>
      <t xml:space="preserve">
Uppnås: </t>
    </r>
    <r>
      <rPr>
        <sz val="9"/>
        <color rgb="FF333333"/>
        <rFont val="Arial"/>
        <family val="2"/>
      </rPr>
      <t>Planera och genomför elektiva elkonverteringar på dagvård arytmi: antikoagulation och TEE-behov, elektrolyter, sedering i samråd med anestesi, synkronisering, energival och uppföljning. ≥10 under handledning. Målnivå 5 (SvKF).</t>
    </r>
    <r>
      <rPr>
        <b/>
        <sz val="9"/>
        <color rgb="FF2E75B6"/>
        <rFont val="Arial"/>
        <family val="2"/>
      </rPr>
      <t xml:space="preserve">
Bedöms: </t>
    </r>
    <r>
      <rPr>
        <sz val="9"/>
        <color rgb="FF333333"/>
        <rFont val="Arial"/>
        <family val="2"/>
      </rPr>
      <t>DOPS godkänd (≥2). Loggas i ST-pärmen.</t>
    </r>
    <r>
      <rPr>
        <b/>
        <sz val="9"/>
        <color rgb="FF808080"/>
        <rFont val="Arial"/>
        <family val="2"/>
      </rPr>
      <t xml:space="preserve">   Delmål: </t>
    </r>
    <r>
      <rPr>
        <sz val="9"/>
        <color rgb="FF808080"/>
        <rFont val="Arial"/>
        <family val="2"/>
      </rPr>
      <t>c6, c9 · STc6, STc9</t>
    </r>
  </si>
  <si>
    <r>
      <rPr>
        <b/>
        <sz val="10"/>
        <color rgb="FF333333"/>
        <rFont val="Arial"/>
        <family val="2"/>
      </rPr>
      <t>Esofagus-EKG</t>
    </r>
    <r>
      <rPr>
        <b/>
        <sz val="9"/>
        <color rgb="FF2E75B6"/>
        <rFont val="Arial"/>
        <family val="2"/>
      </rPr>
      <t xml:space="preserve">
Uppnås: </t>
    </r>
    <r>
      <rPr>
        <sz val="9"/>
        <color rgb="FF333333"/>
        <rFont val="Arial"/>
        <family val="2"/>
      </rPr>
      <t>Utför och tolka esofagus-EKG vid oklar takykardi eller oklar förmaksaktivitet, ≥5 under handledning. Målnivå 5 (SvKF).</t>
    </r>
    <r>
      <rPr>
        <b/>
        <sz val="9"/>
        <color rgb="FF2E75B6"/>
        <rFont val="Arial"/>
        <family val="2"/>
      </rPr>
      <t xml:space="preserve">
Bedöms: </t>
    </r>
    <r>
      <rPr>
        <sz val="9"/>
        <color rgb="FF333333"/>
        <rFont val="Arial"/>
        <family val="2"/>
      </rPr>
      <t>DOPS (≥1). Loggas i ST-pärmen.</t>
    </r>
    <r>
      <rPr>
        <b/>
        <sz val="9"/>
        <color rgb="FF808080"/>
        <rFont val="Arial"/>
        <family val="2"/>
      </rPr>
      <t xml:space="preserve">   Delmål: </t>
    </r>
    <r>
      <rPr>
        <sz val="9"/>
        <color rgb="FF808080"/>
        <rFont val="Arial"/>
        <family val="2"/>
      </rPr>
      <t>c9 · STc9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</si>
</sst>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yyyy\-mm\-dd"/>
    <numFmt numFmtId="165" formatCode="0.0%"/>
    <numFmt numFmtId="166" formatCode="0.0"/>
    <numFmt numFmtId="167" formatCode="0&quot; dagar&quot;"/>
  </numFmts>
  <fonts count="60" x14ac:knownFonts="1">
    <font>
      <sz val="11"/>
      <color theme="1"/>
      <name val="Calibri"/>
      <family val="2"/>
      <charset val="1"/>
    </font>
    <font>
      <b/>
      <sz val="20"/>
      <color rgb="FFFFFFFF"/>
      <name val="Arial"/>
      <family val="2"/>
    </font>
    <font>
      <i/>
      <sz val="11"/>
      <color rgb="FFFFFFFF"/>
      <name val="Arial"/>
      <family val="2"/>
    </font>
    <font>
      <b/>
      <sz val="13"/>
      <color rgb="FF1B3A5C"/>
      <name val="Arial"/>
      <family val="2"/>
    </font>
    <font>
      <b/>
      <sz val="10"/>
      <color rgb="FF333333"/>
      <name val="Arial"/>
      <family val="2"/>
    </font>
    <font>
      <sz val="10"/>
      <color rgb="FF333333"/>
      <name val="Arial"/>
      <family val="2"/>
    </font>
    <font>
      <i/>
      <sz val="10"/>
      <color rgb="FF333333"/>
      <name val="Arial"/>
      <family val="2"/>
    </font>
    <font>
      <b/>
      <sz val="10"/>
      <color rgb="FF1B3A5C"/>
      <name val="Arial"/>
      <family val="2"/>
    </font>
    <font>
      <b/>
      <sz val="18"/>
      <color rgb="FFFFFFFF"/>
      <name val="Arial"/>
      <family val="2"/>
    </font>
    <font>
      <b/>
      <sz val="11"/>
      <color rgb="FF1B3A5C"/>
      <name val="Arial"/>
      <family val="2"/>
    </font>
    <font>
      <b/>
      <sz val="11"/>
      <color rgb="FFFFFFFF"/>
      <name val="Arial"/>
      <family val="2"/>
    </font>
    <font>
      <b/>
      <sz val="10"/>
      <color rgb="FFFFFFFF"/>
      <name val="Arial"/>
      <family val="2"/>
    </font>
    <font>
      <b/>
      <sz val="11"/>
      <color rgb="FF2E75B6"/>
      <name val="Arial"/>
      <family val="2"/>
    </font>
    <font>
      <sz val="11"/>
      <color rgb="FF333333"/>
      <name val="Arial"/>
      <family val="2"/>
    </font>
    <font>
      <b/>
      <sz val="11"/>
      <color rgb="FF375623"/>
      <name val="Arial"/>
      <family val="2"/>
    </font>
    <font>
      <b/>
      <sz val="11"/>
      <color rgb="FF333333"/>
      <name val="Arial"/>
      <family val="2"/>
    </font>
    <font>
      <sz val="10"/>
      <color rgb="FFFFFFFF"/>
      <name val="Arial"/>
      <family val="2"/>
    </font>
    <font>
      <b/>
      <sz val="11"/>
      <color rgb="FFC00000"/>
      <name val="Arial"/>
      <family val="2"/>
    </font>
    <font>
      <b/>
      <sz val="11"/>
      <color rgb="FF548235"/>
      <name val="Arial"/>
      <family val="2"/>
    </font>
    <font>
      <b/>
      <sz val="11"/>
      <color rgb="FF7030A0"/>
      <name val="Arial"/>
      <family val="2"/>
    </font>
    <font>
      <b/>
      <sz val="12"/>
      <color rgb="FFFFFFFF"/>
      <name val="Arial"/>
      <family val="2"/>
    </font>
    <font>
      <b/>
      <sz val="16"/>
      <color rgb="FFFFFFFF"/>
      <name val="Arial"/>
      <family val="2"/>
    </font>
    <font>
      <i/>
      <sz val="10"/>
      <color rgb="FFFFFFFF"/>
      <name val="Arial"/>
      <family val="2"/>
    </font>
    <font>
      <b/>
      <sz val="9"/>
      <color rgb="FF333333"/>
      <name val="Arial"/>
      <family val="2"/>
    </font>
    <font>
      <sz val="9"/>
      <color rgb="FF333333"/>
      <name val="Arial"/>
      <family val="2"/>
    </font>
    <font>
      <b/>
      <sz val="9"/>
      <color rgb="FFFFFFFF"/>
      <name val="Arial"/>
      <family val="2"/>
    </font>
    <font>
      <sz val="9"/>
      <color rgb="FF808080"/>
      <name val="Arial"/>
      <family val="2"/>
    </font>
    <font>
      <b/>
      <sz val="13"/>
      <color rgb="FFFFFFFF"/>
      <name val="Arial"/>
      <family val="2"/>
    </font>
    <font>
      <b/>
      <sz val="11"/>
      <color rgb="FF9C5700"/>
      <name val="Arial"/>
      <family val="2"/>
    </font>
    <font>
      <i/>
      <sz val="9"/>
      <color rgb="FF808080"/>
      <name val="Arial"/>
      <family val="2"/>
    </font>
    <font>
      <sz val="10"/>
      <color rgb="FF000000"/>
      <name val="Arial"/>
      <family val="2"/>
    </font>
    <font>
      <sz val="11"/>
      <color rgb="FF000000"/>
      <name val="Calibri"/>
      <family val="2"/>
      <charset val="1"/>
    </font>
    <font>
      <sz val="12"/>
      <color rgb="FF000000"/>
      <name val="Aptos Narrow"/>
    </font>
    <font>
      <b/>
      <u/>
      <sz val="10"/>
      <color rgb="FF0563C1"/>
      <name val="Arial"/>
      <family val="2"/>
    </font>
    <font>
      <b/>
      <sz val="9"/>
      <color rgb="FF2E7D32"/>
      <name val="Arial"/>
      <family val="2"/>
    </font>
    <font>
      <b/>
      <sz val="9"/>
      <color rgb="FF1F4E79"/>
      <name val="Arial"/>
      <family val="2"/>
    </font>
    <font>
      <b/>
      <sz val="9"/>
      <color rgb="FFC55A11"/>
      <name val="Arial"/>
      <family val="2"/>
    </font>
    <font>
      <b/>
      <sz val="9"/>
      <color rgb="FF2E7D32"/>
      <name val="Arial"/>
      <family val="2"/>
    </font>
    <font>
      <b/>
      <sz val="9"/>
      <color rgb="FF1F4E79"/>
      <name val="Arial"/>
      <family val="2"/>
    </font>
    <font>
      <b/>
      <sz val="9"/>
      <color rgb="FFC55A11"/>
      <name val="Arial"/>
      <family val="2"/>
    </font>
    <font>
      <i/>
      <sz val="9"/>
      <color rgb="FF595959"/>
      <name val="Arial"/>
      <family val="2"/>
    </font>
    <font>
      <sz val="9"/>
      <color rgb="FF333333"/>
      <name val="Arial"/>
      <family val="2"/>
    </font>
    <font>
      <b/>
      <sz val="10"/>
      <color rgb="FF333333"/>
      <name val="Arial"/>
      <family val="2"/>
    </font>
    <font>
      <sz val="9"/>
      <color rgb="FF595959"/>
      <name val="Arial"/>
      <family val="2"/>
    </font>
    <font>
      <b/>
      <sz val="9"/>
      <color rgb="FF2E75B6"/>
      <name val="Arial"/>
      <family val="2"/>
    </font>
    <font>
      <b/>
      <sz val="9"/>
      <color rgb="FF595959"/>
      <name val="Arial"/>
      <family val="2"/>
    </font>
    <font>
      <sz val="9"/>
      <color rgb="FF2E75B6"/>
      <name val="Arial"/>
      <family val="2"/>
    </font>
    <font>
      <b/>
      <sz val="9"/>
      <color rgb="FF808080"/>
      <name val="Arial"/>
      <family val="2"/>
    </font>
    <font>
      <sz val="9"/>
      <color rgb="FFBDD7EE"/>
      <name val="Arial"/>
      <family val="2"/>
    </font>
    <font>
      <b/>
      <sz val="9"/>
      <color rgb="FF1B3A5C"/>
      <name val="Arial"/>
      <family val="2"/>
    </font>
    <font>
      <sz val="9"/>
      <color rgb="FF000000"/>
      <name val="Arial"/>
      <family val="2"/>
    </font>
    <font>
      <i/>
      <sz val="8"/>
      <color rgb="FF595959"/>
      <name val="Arial"/>
      <family val="2"/>
    </font>
    <font>
      <sz val="8"/>
      <color rgb="FF595959"/>
      <name val="Arial"/>
      <family val="2"/>
    </font>
    <font>
      <i/>
      <sz val="10"/>
      <color rgb="FF1B3A5C"/>
      <name val="Arial"/>
      <family val="2"/>
    </font>
    <font>
      <i/>
      <sz val="9"/>
      <color rgb="FF595959"/>
      <name val="Arial"/>
      <family val="2"/>
    </font>
    <font>
      <sz val="11"/>
      <color theme="1"/>
      <name val="Arial"/>
      <family val="2"/>
    </font>
    <font>
      <b/>
      <sz val="14"/>
      <color rgb="FFFFFFFF"/>
      <name val="Arial"/>
      <family val="2"/>
    </font>
    <font>
      <b/>
      <sz val="11"/>
      <color rgb="FF9C0006"/>
      <name val="Arial"/>
      <family val="2"/>
    </font>
    <font>
      <sz val="9"/>
      <color theme="1"/>
      <name val="Arial"/>
      <family val="2"/>
    </font>
    <font>
      <b/>
      <sz val="9"/>
      <color rgb="FF9C0006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rgb="FF1B3A5C"/>
        <bgColor rgb="FF1F4E78"/>
      </patternFill>
    </fill>
    <fill>
      <patternFill patternType="solid">
        <fgColor rgb="FF2E75B6"/>
        <bgColor rgb="FF0066CC"/>
      </patternFill>
    </fill>
    <fill>
      <patternFill patternType="solid">
        <fgColor rgb="FFD6E4F0"/>
        <bgColor rgb="FFD9E1F2"/>
      </patternFill>
    </fill>
    <fill>
      <patternFill patternType="solid">
        <fgColor rgb="FFF2F2F2"/>
        <bgColor rgb="FFEBF1F8"/>
      </patternFill>
    </fill>
    <fill>
      <patternFill patternType="solid">
        <fgColor rgb="FFFFF2CC"/>
        <bgColor rgb="FFF2F2F2"/>
      </patternFill>
    </fill>
    <fill>
      <patternFill patternType="solid">
        <fgColor rgb="FFFFC7CE"/>
        <bgColor rgb="FFFFE699"/>
      </patternFill>
    </fill>
    <fill>
      <patternFill patternType="solid">
        <fgColor rgb="FFFFEB9C"/>
        <bgColor rgb="FFFFE699"/>
      </patternFill>
    </fill>
    <fill>
      <patternFill patternType="solid">
        <fgColor rgb="FFC6EFCE"/>
        <bgColor rgb="FFD6E4F0"/>
      </patternFill>
    </fill>
    <fill>
      <patternFill patternType="solid">
        <fgColor rgb="FFBDD7EE"/>
        <bgColor rgb="FFD6E4F0"/>
      </patternFill>
    </fill>
    <fill>
      <patternFill patternType="solid">
        <fgColor rgb="FFEBF1F8"/>
        <bgColor rgb="FFF2F2F2"/>
      </patternFill>
    </fill>
    <fill>
      <patternFill patternType="solid">
        <fgColor rgb="FFED7D31"/>
        <bgColor rgb="FFFF8080"/>
      </patternFill>
    </fill>
    <fill>
      <patternFill patternType="solid">
        <fgColor rgb="FFF9F9F9"/>
        <bgColor rgb="FFFFFFFF"/>
      </patternFill>
    </fill>
    <fill>
      <patternFill patternType="solid">
        <fgColor rgb="FFFFE699"/>
        <bgColor rgb="FFFFEB9C"/>
      </patternFill>
    </fill>
    <fill>
      <patternFill patternType="solid">
        <fgColor rgb="FFD9E1F2"/>
        <bgColor rgb="FFD6E4F0"/>
      </patternFill>
    </fill>
    <fill>
      <patternFill patternType="solid">
        <fgColor rgb="FFC00000"/>
        <bgColor rgb="FF9C0006"/>
      </patternFill>
    </fill>
    <fill>
      <patternFill patternType="solid">
        <fgColor rgb="FF548235"/>
        <bgColor rgb="FF339966"/>
      </patternFill>
    </fill>
    <fill>
      <patternFill patternType="solid">
        <fgColor rgb="FF7030A0"/>
        <bgColor rgb="FF993366"/>
      </patternFill>
    </fill>
    <fill>
      <patternFill patternType="solid">
        <fgColor rgb="FFC00000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1B3A5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4F8FC"/>
        <bgColor indexed="64"/>
      </patternFill>
    </fill>
    <fill>
      <patternFill patternType="solid">
        <fgColor rgb="FFFFEB9C"/>
        <bgColor indexed="64"/>
      </patternFill>
    </fill>
  </fills>
  <borders count="5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113">
    <xf numFmtId="0" fontId="0" fillId="0" borderId="0" xfId="0"/>
    <xf numFmtId="0" fontId="25" fillId="2" borderId="1" xfId="0" applyFont="1" applyFill="1" applyBorder="1" applyAlignment="1">
      <alignment horizontal="center" vertical="center" wrapText="1"/>
    </xf>
    <xf numFmtId="0" fontId="5" fillId="0" borderId="1" xfId="0" applyFont="1" applyBorder="1" applyAlignment="1">
      <alignment horizontal="left" vertical="top" wrapText="1"/>
    </xf>
    <xf numFmtId="0" fontId="4" fillId="5" borderId="1" xfId="0" applyFont="1" applyFill="1" applyBorder="1" applyAlignment="1">
      <alignment horizontal="right" vertical="center" wrapText="1"/>
    </xf>
    <xf numFmtId="0" fontId="5" fillId="6" borderId="1" xfId="0" applyFont="1" applyFill="1" applyBorder="1" applyAlignment="1">
      <alignment horizontal="left" vertical="center" wrapText="1"/>
    </xf>
    <xf numFmtId="164" fontId="5" fillId="6" borderId="1" xfId="0" applyNumberFormat="1" applyFont="1" applyFill="1" applyBorder="1" applyAlignment="1">
      <alignment horizontal="left" vertical="center" wrapText="1"/>
    </xf>
    <xf numFmtId="164" fontId="6" fillId="5" borderId="1" xfId="0" applyNumberFormat="1" applyFont="1" applyFill="1" applyBorder="1" applyAlignment="1">
      <alignment horizontal="left" vertical="center" wrapText="1"/>
    </xf>
    <xf numFmtId="0" fontId="7" fillId="5" borderId="1" xfId="0" applyFont="1" applyFill="1" applyBorder="1" applyAlignment="1">
      <alignment horizontal="right" vertical="center" wrapText="1"/>
    </xf>
    <xf numFmtId="0" fontId="5" fillId="0" borderId="1" xfId="0" applyFont="1" applyBorder="1" applyAlignment="1">
      <alignment horizontal="left" vertical="center" wrapText="1"/>
    </xf>
    <xf numFmtId="0" fontId="4" fillId="7" borderId="1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horizontal="center" vertical="center" wrapText="1"/>
    </xf>
    <xf numFmtId="0" fontId="4" fillId="9" borderId="1" xfId="0" applyFont="1" applyFill="1" applyBorder="1" applyAlignment="1">
      <alignment horizontal="center" vertical="center" wrapText="1"/>
    </xf>
    <xf numFmtId="0" fontId="4" fillId="10" borderId="1" xfId="0" applyFont="1" applyFill="1" applyBorder="1" applyAlignment="1">
      <alignment horizontal="center" vertical="center" wrapText="1"/>
    </xf>
    <xf numFmtId="164" fontId="9" fillId="11" borderId="1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1" fontId="9" fillId="11" borderId="1" xfId="0" applyNumberFormat="1" applyFont="1" applyFill="1" applyBorder="1" applyAlignment="1">
      <alignment horizontal="center" vertical="center" wrapText="1"/>
    </xf>
    <xf numFmtId="165" fontId="9" fillId="11" borderId="1" xfId="0" applyNumberFormat="1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 wrapText="1"/>
    </xf>
    <xf numFmtId="0" fontId="12" fillId="11" borderId="1" xfId="0" applyFont="1" applyFill="1" applyBorder="1" applyAlignment="1">
      <alignment horizontal="left" vertical="center" wrapText="1"/>
    </xf>
    <xf numFmtId="0" fontId="13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165" fontId="15" fillId="0" borderId="1" xfId="0" applyNumberFormat="1" applyFont="1" applyBorder="1" applyAlignment="1">
      <alignment horizontal="center" vertical="center" wrapText="1"/>
    </xf>
    <xf numFmtId="165" fontId="16" fillId="5" borderId="1" xfId="0" applyNumberFormat="1" applyFont="1" applyFill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0" fontId="17" fillId="11" borderId="1" xfId="0" applyFont="1" applyFill="1" applyBorder="1" applyAlignment="1">
      <alignment horizontal="left" vertical="center" wrapText="1"/>
    </xf>
    <xf numFmtId="0" fontId="18" fillId="11" borderId="1" xfId="0" applyFont="1" applyFill="1" applyBorder="1" applyAlignment="1">
      <alignment horizontal="left" vertical="center" wrapText="1"/>
    </xf>
    <xf numFmtId="0" fontId="19" fillId="11" borderId="1" xfId="0" applyFont="1" applyFill="1" applyBorder="1" applyAlignment="1">
      <alignment horizontal="left" vertical="center" wrapText="1"/>
    </xf>
    <xf numFmtId="0" fontId="20" fillId="2" borderId="1" xfId="0" applyFont="1" applyFill="1" applyBorder="1" applyAlignment="1">
      <alignment horizontal="right" vertical="center" wrapText="1"/>
    </xf>
    <xf numFmtId="0" fontId="20" fillId="2" borderId="1" xfId="0" applyFont="1" applyFill="1" applyBorder="1" applyAlignment="1">
      <alignment horizontal="center" vertical="center" wrapText="1"/>
    </xf>
    <xf numFmtId="165" fontId="20" fillId="2" borderId="1" xfId="0" applyNumberFormat="1" applyFont="1" applyFill="1" applyBorder="1" applyAlignment="1">
      <alignment horizontal="center" vertical="center" wrapText="1"/>
    </xf>
    <xf numFmtId="165" fontId="16" fillId="3" borderId="1" xfId="0" applyNumberFormat="1" applyFont="1" applyFill="1" applyBorder="1" applyAlignment="1">
      <alignment horizontal="center" vertical="center" wrapText="1"/>
    </xf>
    <xf numFmtId="0" fontId="10" fillId="2" borderId="1" xfId="0" applyFont="1" applyFill="1" applyBorder="1" applyAlignment="1">
      <alignment horizontal="center" vertical="center" wrapText="1"/>
    </xf>
    <xf numFmtId="0" fontId="26" fillId="0" borderId="1" xfId="0" applyFont="1" applyBorder="1" applyAlignment="1">
      <alignment horizontal="center" vertical="center" wrapText="1"/>
    </xf>
    <xf numFmtId="164" fontId="24" fillId="14" borderId="1" xfId="0" applyNumberFormat="1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horizontal="center" vertical="center" wrapText="1"/>
    </xf>
    <xf numFmtId="0" fontId="24" fillId="6" borderId="1" xfId="0" applyFont="1" applyFill="1" applyBorder="1" applyAlignment="1">
      <alignment horizontal="left" vertical="top" wrapText="1"/>
    </xf>
    <xf numFmtId="0" fontId="9" fillId="4" borderId="1" xfId="0" applyFont="1" applyFill="1" applyBorder="1" applyAlignment="1">
      <alignment horizontal="center" vertical="center" wrapText="1"/>
    </xf>
    <xf numFmtId="0" fontId="28" fillId="6" borderId="1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  <xf numFmtId="0" fontId="24" fillId="0" borderId="1" xfId="0" applyFont="1" applyBorder="1" applyAlignment="1">
      <alignment horizontal="left" vertical="top" wrapText="1"/>
    </xf>
    <xf numFmtId="0" fontId="29" fillId="0" borderId="1" xfId="0" applyFont="1" applyBorder="1" applyAlignment="1">
      <alignment horizontal="center" vertical="center" wrapText="1"/>
    </xf>
    <xf numFmtId="0" fontId="15" fillId="4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15" fillId="9" borderId="1" xfId="0" applyFont="1" applyFill="1" applyBorder="1" applyAlignment="1">
      <alignment horizontal="center" vertical="center" wrapText="1"/>
    </xf>
    <xf numFmtId="165" fontId="14" fillId="9" borderId="1" xfId="0" applyNumberFormat="1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top" wrapText="1"/>
    </xf>
    <xf numFmtId="0" fontId="34" fillId="23" borderId="1" xfId="0" applyFont="1" applyFill="1" applyBorder="1" applyAlignment="1">
      <alignment horizontal="center" vertical="top" wrapText="1"/>
    </xf>
    <xf numFmtId="0" fontId="35" fillId="24" borderId="1" xfId="0" applyFont="1" applyFill="1" applyBorder="1" applyAlignment="1">
      <alignment horizontal="center" vertical="top" wrapText="1"/>
    </xf>
    <xf numFmtId="0" fontId="36" fillId="25" borderId="1" xfId="0" applyFont="1" applyFill="1" applyBorder="1" applyAlignment="1">
      <alignment horizontal="center" vertical="top" wrapText="1"/>
    </xf>
    <xf numFmtId="0" fontId="37" fillId="26" borderId="1" xfId="0" applyFont="1" applyFill="1" applyBorder="1" applyAlignment="1">
      <alignment horizontal="center" vertical="center" wrapText="1"/>
    </xf>
    <xf numFmtId="0" fontId="38" fillId="27" borderId="1" xfId="0" applyFont="1" applyFill="1" applyBorder="1" applyAlignment="1">
      <alignment horizontal="center" vertical="center" wrapText="1"/>
    </xf>
    <xf numFmtId="0" fontId="39" fillId="28" borderId="1" xfId="0" applyFont="1" applyFill="1" applyBorder="1" applyAlignment="1">
      <alignment horizontal="center" vertical="center" wrapText="1"/>
    </xf>
    <xf numFmtId="0" fontId="40" fillId="0" borderId="1" xfId="0" applyFont="1" applyBorder="1" applyAlignment="1">
      <alignment horizontal="left" vertical="top" wrapText="1"/>
    </xf>
    <xf numFmtId="0" fontId="42" fillId="0" borderId="1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164" fontId="5" fillId="6" borderId="1" xfId="0" applyNumberFormat="1" applyFont="1" applyFill="1" applyBorder="1" applyAlignment="1">
      <alignment horizontal="center" vertical="center" wrapText="1"/>
    </xf>
    <xf numFmtId="9" fontId="5" fillId="6" borderId="1" xfId="0" applyNumberFormat="1" applyFont="1" applyFill="1" applyBorder="1" applyAlignment="1">
      <alignment horizontal="center" vertical="center" wrapText="1"/>
    </xf>
    <xf numFmtId="166" fontId="9" fillId="6" borderId="1" xfId="0" applyNumberFormat="1" applyFont="1" applyFill="1" applyBorder="1" applyAlignment="1">
      <alignment horizontal="center" vertical="center" wrapText="1"/>
    </xf>
    <xf numFmtId="166" fontId="5" fillId="6" borderId="1" xfId="0" applyNumberFormat="1" applyFont="1" applyFill="1" applyBorder="1" applyAlignment="1">
      <alignment horizontal="center" vertical="center" wrapText="1"/>
    </xf>
    <xf numFmtId="1" fontId="5" fillId="5" borderId="1" xfId="0" applyNumberFormat="1" applyFont="1" applyFill="1" applyBorder="1" applyAlignment="1">
      <alignment horizontal="center" vertical="center" wrapText="1"/>
    </xf>
    <xf numFmtId="2" fontId="5" fillId="5" borderId="1" xfId="0" applyNumberFormat="1" applyFont="1" applyFill="1" applyBorder="1" applyAlignment="1">
      <alignment horizontal="center" vertical="center" wrapText="1"/>
    </xf>
    <xf numFmtId="167" fontId="9" fillId="11" borderId="1" xfId="0" applyNumberFormat="1" applyFont="1" applyFill="1" applyBorder="1" applyAlignment="1">
      <alignment horizontal="center" vertical="center" wrapText="1"/>
    </xf>
    <xf numFmtId="166" fontId="9" fillId="11" borderId="1" xfId="0" applyNumberFormat="1" applyFont="1" applyFill="1" applyBorder="1" applyAlignment="1">
      <alignment horizontal="center" vertical="center" wrapText="1"/>
    </xf>
    <xf numFmtId="167" fontId="20" fillId="2" borderId="1" xfId="0" applyNumberFormat="1" applyFont="1" applyFill="1" applyBorder="1" applyAlignment="1">
      <alignment horizontal="center" vertical="center" wrapText="1"/>
    </xf>
    <xf numFmtId="166" fontId="20" fillId="2" borderId="1" xfId="0" applyNumberFormat="1" applyFont="1" applyFill="1" applyBorder="1" applyAlignment="1">
      <alignment horizontal="center" vertical="center" wrapText="1"/>
    </xf>
    <xf numFmtId="0" fontId="6" fillId="5" borderId="1" xfId="0" applyFont="1" applyFill="1" applyBorder="1" applyAlignment="1">
      <alignment horizontal="center" vertical="center" wrapText="1"/>
    </xf>
    <xf numFmtId="164" fontId="6" fillId="5" borderId="1" xfId="0" applyNumberFormat="1" applyFont="1" applyFill="1" applyBorder="1" applyAlignment="1">
      <alignment horizontal="center" vertical="center" wrapText="1"/>
    </xf>
    <xf numFmtId="0" fontId="6" fillId="5" borderId="1" xfId="0" applyFont="1" applyFill="1" applyBorder="1" applyAlignment="1">
      <alignment horizontal="left" vertical="center" wrapText="1"/>
    </xf>
    <xf numFmtId="166" fontId="13" fillId="0" borderId="1" xfId="0" applyNumberFormat="1" applyFont="1" applyBorder="1" applyAlignment="1">
      <alignment horizontal="center" vertical="center" wrapText="1"/>
    </xf>
    <xf numFmtId="0" fontId="55" fillId="0" borderId="0" xfId="0" applyFont="1"/>
    <xf numFmtId="0" fontId="25" fillId="21" borderId="0" xfId="0" applyFont="1" applyFill="1" applyAlignment="1">
      <alignment horizontal="center" vertical="center" wrapText="1"/>
    </xf>
    <xf numFmtId="0" fontId="58" fillId="0" borderId="1" xfId="0" applyFont="1" applyBorder="1" applyAlignment="1">
      <alignment vertical="top" wrapText="1"/>
    </xf>
    <xf numFmtId="0" fontId="58" fillId="0" borderId="1" xfId="0" applyFont="1" applyBorder="1" applyAlignment="1">
      <alignment horizontal="center" vertical="top" wrapText="1"/>
    </xf>
    <xf numFmtId="0" fontId="59" fillId="22" borderId="1" xfId="0" applyFont="1" applyFill="1" applyBorder="1" applyAlignment="1">
      <alignment horizontal="center" vertical="top" wrapText="1"/>
    </xf>
    <xf numFmtId="0" fontId="9" fillId="15" borderId="1" xfId="0" applyFont="1" applyFill="1" applyBorder="1" applyAlignment="1">
      <alignment horizontal="left" vertical="center" wrapText="1"/>
    </xf>
    <xf numFmtId="0" fontId="41" fillId="0" borderId="1" xfId="0" applyFont="1" applyBorder="1" applyAlignment="1">
      <alignment horizontal="left" vertical="center" wrapText="1"/>
    </xf>
    <xf numFmtId="0" fontId="5" fillId="0" borderId="1" xfId="0" applyFont="1" applyBorder="1" applyAlignment="1">
      <alignment horizontal="left" vertical="top" wrapText="1"/>
    </xf>
    <xf numFmtId="0" fontId="21" fillId="3" borderId="1" xfId="0" applyFont="1" applyFill="1" applyBorder="1" applyAlignment="1">
      <alignment horizontal="left" vertical="center" wrapText="1"/>
    </xf>
    <xf numFmtId="0" fontId="22" fillId="3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left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53" fillId="29" borderId="1" xfId="0" applyFont="1" applyFill="1" applyBorder="1" applyAlignment="1">
      <alignment horizontal="left"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12" borderId="1" xfId="0" applyFont="1" applyFill="1" applyBorder="1" applyAlignment="1">
      <alignment horizontal="center" vertical="center" wrapText="1"/>
    </xf>
    <xf numFmtId="0" fontId="8" fillId="2" borderId="1" xfId="0" applyFont="1" applyFill="1" applyBorder="1" applyAlignment="1">
      <alignment horizontal="center" vertical="center" wrapText="1"/>
    </xf>
    <xf numFmtId="165" fontId="10" fillId="3" borderId="1" xfId="0" applyNumberFormat="1" applyFont="1" applyFill="1" applyBorder="1" applyAlignment="1">
      <alignment horizontal="center" vertical="center" wrapText="1"/>
    </xf>
    <xf numFmtId="0" fontId="54" fillId="0" borderId="1" xfId="0" applyFont="1" applyBorder="1" applyAlignment="1">
      <alignment horizontal="left" vertical="center" wrapText="1"/>
    </xf>
    <xf numFmtId="0" fontId="56" fillId="19" borderId="0" xfId="0" applyFont="1" applyFill="1" applyAlignment="1">
      <alignment horizontal="center" vertical="center"/>
    </xf>
    <xf numFmtId="0" fontId="22" fillId="20" borderId="0" xfId="0" applyFont="1" applyFill="1" applyAlignment="1">
      <alignment horizontal="center"/>
    </xf>
    <xf numFmtId="0" fontId="57" fillId="30" borderId="0" xfId="0" applyFont="1" applyFill="1" applyAlignment="1">
      <alignment horizontal="center"/>
    </xf>
    <xf numFmtId="0" fontId="5" fillId="6" borderId="1" xfId="0" applyFont="1" applyFill="1" applyBorder="1" applyAlignment="1">
      <alignment horizontal="left" vertical="center" wrapText="1"/>
    </xf>
    <xf numFmtId="0" fontId="11" fillId="2" borderId="1" xfId="0" applyFont="1" applyFill="1" applyBorder="1" applyAlignment="1">
      <alignment horizontal="center" vertical="center" wrapText="1"/>
    </xf>
    <xf numFmtId="0" fontId="20" fillId="2" borderId="1" xfId="0" applyFont="1" applyFill="1" applyBorder="1" applyAlignment="1">
      <alignment horizontal="right" vertical="center" wrapText="1"/>
    </xf>
    <xf numFmtId="0" fontId="54" fillId="0" borderId="0" xfId="0" applyFont="1" applyAlignment="1">
      <alignment horizontal="left" vertical="center" wrapText="1"/>
    </xf>
    <xf numFmtId="0" fontId="23" fillId="5" borderId="1" xfId="0" applyFont="1" applyFill="1" applyBorder="1" applyAlignment="1">
      <alignment horizontal="right" vertical="center" wrapText="1"/>
    </xf>
    <xf numFmtId="0" fontId="24" fillId="13" borderId="1" xfId="0" applyFont="1" applyFill="1" applyBorder="1" applyAlignment="1">
      <alignment horizontal="left" vertical="center" wrapText="1"/>
    </xf>
    <xf numFmtId="0" fontId="10" fillId="3" borderId="1" xfId="0" applyFont="1" applyFill="1" applyBorder="1" applyAlignment="1">
      <alignment horizontal="left" vertical="center" wrapText="1"/>
    </xf>
    <xf numFmtId="0" fontId="25" fillId="2" borderId="1" xfId="0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10" fillId="2" borderId="1" xfId="0" applyFont="1" applyFill="1" applyBorder="1" applyAlignment="1">
      <alignment horizontal="right" vertical="center" wrapText="1"/>
    </xf>
    <xf numFmtId="0" fontId="4" fillId="5" borderId="1" xfId="0" applyFont="1" applyFill="1" applyBorder="1" applyAlignment="1">
      <alignment horizontal="right" vertical="center" wrapText="1"/>
    </xf>
    <xf numFmtId="0" fontId="27" fillId="2" borderId="1" xfId="0" applyFont="1" applyFill="1" applyBorder="1" applyAlignment="1">
      <alignment horizontal="center" vertical="center" wrapText="1"/>
    </xf>
    <xf numFmtId="0" fontId="21" fillId="16" borderId="1" xfId="0" applyFont="1" applyFill="1" applyBorder="1" applyAlignment="1">
      <alignment horizontal="left" vertical="center" wrapText="1"/>
    </xf>
    <xf numFmtId="0" fontId="10" fillId="16" borderId="1" xfId="0" applyFont="1" applyFill="1" applyBorder="1" applyAlignment="1">
      <alignment horizontal="left" vertical="center" wrapText="1"/>
    </xf>
    <xf numFmtId="0" fontId="21" fillId="17" borderId="1" xfId="0" applyFont="1" applyFill="1" applyBorder="1" applyAlignment="1">
      <alignment horizontal="left" vertical="center" wrapText="1"/>
    </xf>
    <xf numFmtId="0" fontId="10" fillId="17" borderId="1" xfId="0" applyFont="1" applyFill="1" applyBorder="1" applyAlignment="1">
      <alignment horizontal="left" vertical="center" wrapText="1"/>
    </xf>
    <xf numFmtId="0" fontId="21" fillId="18" borderId="1" xfId="0" applyFont="1" applyFill="1" applyBorder="1" applyAlignment="1">
      <alignment horizontal="left" vertical="center" wrapText="1"/>
    </xf>
    <xf numFmtId="0" fontId="10" fillId="18" borderId="1" xfId="0" applyFont="1" applyFill="1" applyBorder="1" applyAlignment="1">
      <alignment horizontal="left" vertical="center" wrapText="1"/>
    </xf>
    <xf numFmtId="0" fontId="9" fillId="11" borderId="1" xfId="0" applyFont="1" applyFill="1" applyBorder="1" applyAlignment="1">
      <alignment horizontal="center" vertical="center" wrapText="1"/>
    </xf>
  </cellXfs>
  <cellStyles count="1">
    <cellStyle name="Normal" xfId="0" builtinId="0"/>
  </cellStyles>
  <dxfs count="57">
    <dxf>
      <fill>
        <patternFill>
          <bgColor rgb="FFE2EFDA"/>
        </patternFill>
      </fill>
    </dxf>
    <dxf>
      <font>
        <b/>
        <sz val="10"/>
        <color rgb="FF9C0006"/>
        <name val="Arial"/>
        <charset val="1"/>
      </font>
      <fill>
        <patternFill>
          <bgColor rgb="FFFFC7CE"/>
        </patternFill>
      </fill>
    </dxf>
    <dxf>
      <font>
        <b/>
        <sz val="10"/>
        <color rgb="FF375623"/>
        <name val="Arial"/>
        <charset val="1"/>
      </font>
      <fill>
        <patternFill>
          <bgColor rgb="FFC6EFCE"/>
        </patternFill>
      </fill>
    </dxf>
    <dxf>
      <fill>
        <patternFill>
          <bgColor rgb="FFE2EFDA"/>
        </patternFill>
      </fill>
    </dxf>
    <dxf>
      <font>
        <b/>
        <sz val="10"/>
        <color rgb="FF9C0006"/>
        <name val="Arial"/>
        <charset val="1"/>
      </font>
      <fill>
        <patternFill>
          <bgColor rgb="FFFFC7CE"/>
        </patternFill>
      </fill>
    </dxf>
    <dxf>
      <font>
        <b/>
        <sz val="10"/>
        <color rgb="FF375623"/>
        <name val="Arial"/>
        <charset val="1"/>
      </font>
      <fill>
        <patternFill>
          <bgColor rgb="FFC6EFCE"/>
        </patternFill>
      </fill>
    </dxf>
    <dxf>
      <font>
        <b/>
        <sz val="10"/>
        <color rgb="FF375623"/>
        <name val="Arial"/>
        <charset val="1"/>
      </font>
      <fill>
        <patternFill>
          <bgColor rgb="FFC6EFCE"/>
        </patternFill>
      </fill>
    </dxf>
    <dxf>
      <font>
        <b/>
        <sz val="10"/>
        <color rgb="FF9C5700"/>
        <name val="Arial"/>
        <charset val="1"/>
      </font>
      <fill>
        <patternFill>
          <bgColor rgb="FFFFEB9C"/>
        </patternFill>
      </fill>
    </dxf>
    <dxf>
      <font>
        <b/>
        <sz val="10"/>
        <color rgb="FF9C0006"/>
        <name val="Arial"/>
        <charset val="1"/>
      </font>
      <fill>
        <patternFill>
          <bgColor rgb="FFFFC7CE"/>
        </patternFill>
      </fill>
    </dxf>
    <dxf>
      <font>
        <b/>
        <sz val="10"/>
        <color rgb="FF375623"/>
        <name val="Arial"/>
        <charset val="1"/>
      </font>
      <fill>
        <patternFill>
          <bgColor rgb="FFC6EFCE"/>
        </patternFill>
      </fill>
    </dxf>
    <dxf>
      <font>
        <b/>
        <sz val="10"/>
        <color rgb="FF9C5700"/>
        <name val="Arial"/>
        <charset val="1"/>
      </font>
      <fill>
        <patternFill>
          <bgColor rgb="FFFFEB9C"/>
        </patternFill>
      </fill>
    </dxf>
    <dxf>
      <font>
        <b/>
        <sz val="10"/>
        <color rgb="FF9C0006"/>
        <name val="Arial"/>
        <charset val="1"/>
      </font>
      <fill>
        <patternFill>
          <bgColor rgb="FFFFC7CE"/>
        </patternFill>
      </fill>
    </dxf>
    <dxf>
      <font>
        <b/>
        <sz val="10"/>
        <color rgb="FF375623"/>
        <name val="Arial"/>
        <charset val="1"/>
      </font>
      <fill>
        <patternFill>
          <bgColor rgb="FFC6EFCE"/>
        </patternFill>
      </fill>
    </dxf>
    <dxf>
      <font>
        <b/>
        <sz val="10"/>
        <color rgb="FF9C5700"/>
        <name val="Arial"/>
        <charset val="1"/>
      </font>
      <fill>
        <patternFill>
          <bgColor rgb="FFFFEB9C"/>
        </patternFill>
      </fill>
    </dxf>
    <dxf>
      <font>
        <b/>
        <sz val="10"/>
        <color rgb="FF9C0006"/>
        <name val="Arial"/>
        <charset val="1"/>
      </font>
      <fill>
        <patternFill>
          <bgColor rgb="FFFFC7CE"/>
        </patternFill>
      </fill>
    </dxf>
    <dxf>
      <font>
        <b/>
        <sz val="10"/>
        <color rgb="FF1F4E78"/>
        <name val="Arial"/>
        <charset val="1"/>
      </font>
      <fill>
        <patternFill>
          <bgColor rgb="FFBDD7EE"/>
        </patternFill>
      </fill>
    </dxf>
    <dxf>
      <font>
        <b/>
        <sz val="10"/>
        <color rgb="FF375623"/>
        <name val="Arial"/>
        <charset val="1"/>
      </font>
      <fill>
        <patternFill>
          <bgColor rgb="FFC6EFCE"/>
        </patternFill>
      </fill>
    </dxf>
    <dxf>
      <font>
        <b/>
        <sz val="10"/>
        <color rgb="FF9C5700"/>
        <name val="Arial"/>
        <charset val="1"/>
      </font>
      <fill>
        <patternFill>
          <bgColor rgb="FFFFEB9C"/>
        </patternFill>
      </fill>
    </dxf>
    <dxf>
      <font>
        <b/>
        <sz val="10"/>
        <color rgb="FF9C0006"/>
        <name val="Arial"/>
        <charset val="1"/>
      </font>
      <fill>
        <patternFill>
          <bgColor rgb="FFFFC7CE"/>
        </patternFill>
      </fill>
    </dxf>
    <dxf>
      <font>
        <b/>
        <sz val="10"/>
        <color rgb="FF375623"/>
        <name val="Arial"/>
        <charset val="1"/>
      </font>
      <fill>
        <patternFill>
          <bgColor rgb="FFC6EFCE"/>
        </patternFill>
      </fill>
    </dxf>
    <dxf>
      <font>
        <b/>
        <sz val="10"/>
        <color rgb="FF9C5700"/>
        <name val="Arial"/>
        <charset val="1"/>
      </font>
      <fill>
        <patternFill>
          <bgColor rgb="FFFFEB9C"/>
        </patternFill>
      </fill>
    </dxf>
    <dxf>
      <font>
        <b/>
        <sz val="10"/>
        <color rgb="FF9C0006"/>
        <name val="Arial"/>
        <charset val="1"/>
      </font>
      <fill>
        <patternFill>
          <bgColor rgb="FFFFC7CE"/>
        </patternFill>
      </fill>
    </dxf>
    <dxf>
      <font>
        <b/>
        <sz val="10"/>
        <color rgb="FF375623"/>
        <name val="Arial"/>
        <charset val="1"/>
      </font>
      <fill>
        <patternFill>
          <bgColor rgb="FFC6EFCE"/>
        </patternFill>
      </fill>
    </dxf>
    <dxf>
      <font>
        <b/>
        <sz val="10"/>
        <color rgb="FF9C5700"/>
        <name val="Arial"/>
        <charset val="1"/>
      </font>
      <fill>
        <patternFill>
          <bgColor rgb="FFFFEB9C"/>
        </patternFill>
      </fill>
    </dxf>
    <dxf>
      <font>
        <b/>
        <sz val="10"/>
        <color rgb="FF9C0006"/>
        <name val="Arial"/>
        <charset val="1"/>
      </font>
      <fill>
        <patternFill>
          <bgColor rgb="FFFFC7CE"/>
        </patternFill>
      </fill>
    </dxf>
    <dxf>
      <font>
        <b/>
        <sz val="10"/>
        <color rgb="FF375623"/>
        <name val="Arial"/>
        <charset val="1"/>
      </font>
      <fill>
        <patternFill>
          <bgColor rgb="FFC6EFCE"/>
        </patternFill>
      </fill>
    </dxf>
    <dxf>
      <font>
        <b/>
        <sz val="10"/>
        <color rgb="FF9C5700"/>
        <name val="Arial"/>
        <charset val="1"/>
      </font>
      <fill>
        <patternFill>
          <bgColor rgb="FFFFEB9C"/>
        </patternFill>
      </fill>
    </dxf>
    <dxf>
      <font>
        <b/>
        <sz val="10"/>
        <color rgb="FF9C0006"/>
        <name val="Arial"/>
        <charset val="1"/>
      </font>
      <fill>
        <patternFill>
          <bgColor rgb="FFFFC7CE"/>
        </patternFill>
      </fill>
    </dxf>
    <dxf>
      <font>
        <b/>
        <sz val="10"/>
        <color rgb="FF1F4E78"/>
        <name val="Arial"/>
        <charset val="1"/>
      </font>
      <fill>
        <patternFill>
          <bgColor rgb="FFBDD7EE"/>
        </patternFill>
      </fill>
    </dxf>
    <dxf>
      <font>
        <b/>
        <sz val="10"/>
        <color rgb="FF375623"/>
        <name val="Arial"/>
        <charset val="1"/>
      </font>
      <fill>
        <patternFill>
          <bgColor rgb="FFC6EFCE"/>
        </patternFill>
      </fill>
    </dxf>
    <dxf>
      <font>
        <b/>
        <sz val="10"/>
        <color rgb="FF9C5700"/>
        <name val="Arial"/>
        <charset val="1"/>
      </font>
      <fill>
        <patternFill>
          <bgColor rgb="FFFFEB9C"/>
        </patternFill>
      </fill>
    </dxf>
    <dxf>
      <font>
        <b/>
        <sz val="10"/>
        <color rgb="FF9C0006"/>
        <name val="Arial"/>
        <charset val="1"/>
      </font>
      <fill>
        <patternFill>
          <bgColor rgb="FFFFC7CE"/>
        </patternFill>
      </fill>
    </dxf>
    <dxf>
      <font>
        <b/>
        <sz val="10"/>
        <color rgb="FF375623"/>
        <name val="Arial"/>
        <charset val="1"/>
      </font>
      <fill>
        <patternFill>
          <bgColor rgb="FFC6EFCE"/>
        </patternFill>
      </fill>
    </dxf>
    <dxf>
      <font>
        <b/>
        <sz val="10"/>
        <color rgb="FF9C5700"/>
        <name val="Arial"/>
        <charset val="1"/>
      </font>
      <fill>
        <patternFill>
          <bgColor rgb="FFFFEB9C"/>
        </patternFill>
      </fill>
    </dxf>
    <dxf>
      <font>
        <b/>
        <sz val="10"/>
        <color rgb="FF9C0006"/>
        <name val="Arial"/>
        <charset val="1"/>
      </font>
      <fill>
        <patternFill>
          <bgColor rgb="FFFFC7CE"/>
        </patternFill>
      </fill>
    </dxf>
    <dxf>
      <font>
        <b/>
        <sz val="10"/>
        <color rgb="FF375623"/>
        <name val="Arial"/>
        <charset val="1"/>
      </font>
      <fill>
        <patternFill>
          <bgColor rgb="FFC6EFCE"/>
        </patternFill>
      </fill>
    </dxf>
    <dxf>
      <font>
        <b/>
        <sz val="10"/>
        <color rgb="FF9C5700"/>
        <name val="Arial"/>
        <charset val="1"/>
      </font>
      <fill>
        <patternFill>
          <bgColor rgb="FFFFEB9C"/>
        </patternFill>
      </fill>
    </dxf>
    <dxf>
      <font>
        <b/>
        <sz val="10"/>
        <color rgb="FF9C0006"/>
        <name val="Arial"/>
        <charset val="1"/>
      </font>
      <fill>
        <patternFill>
          <bgColor rgb="FFFFC7CE"/>
        </patternFill>
      </fill>
    </dxf>
    <dxf>
      <font>
        <b/>
        <sz val="10"/>
        <color rgb="FF1F4E78"/>
        <name val="Arial"/>
        <charset val="1"/>
      </font>
      <fill>
        <patternFill>
          <bgColor rgb="FFBDD7EE"/>
        </patternFill>
      </fill>
    </dxf>
    <dxf>
      <font>
        <b/>
        <sz val="10"/>
        <color rgb="FF375623"/>
        <name val="Arial"/>
        <charset val="1"/>
      </font>
      <fill>
        <patternFill>
          <bgColor rgb="FFC6EFCE"/>
        </patternFill>
      </fill>
    </dxf>
    <dxf>
      <font>
        <b/>
        <sz val="10"/>
        <color rgb="FF9C5700"/>
        <name val="Arial"/>
        <charset val="1"/>
      </font>
      <fill>
        <patternFill>
          <bgColor rgb="FFFFEB9C"/>
        </patternFill>
      </fill>
    </dxf>
    <dxf>
      <font>
        <b/>
        <sz val="10"/>
        <color rgb="FF9C0006"/>
        <name val="Arial"/>
        <charset val="1"/>
      </font>
      <fill>
        <patternFill>
          <bgColor rgb="FFFFC7CE"/>
        </patternFill>
      </fill>
    </dxf>
    <dxf>
      <font>
        <b/>
        <sz val="10"/>
        <color rgb="FF375623"/>
        <name val="Arial"/>
        <charset val="1"/>
      </font>
      <fill>
        <patternFill>
          <bgColor rgb="FFC6EFCE"/>
        </patternFill>
      </fill>
    </dxf>
    <dxf>
      <font>
        <b/>
        <sz val="10"/>
        <color rgb="FF9C5700"/>
        <name val="Arial"/>
        <charset val="1"/>
      </font>
      <fill>
        <patternFill>
          <bgColor rgb="FFFFEB9C"/>
        </patternFill>
      </fill>
    </dxf>
    <dxf>
      <font>
        <b/>
        <sz val="10"/>
        <color rgb="FF9C0006"/>
        <name val="Arial"/>
        <charset val="1"/>
      </font>
      <fill>
        <patternFill>
          <bgColor rgb="FFFFC7CE"/>
        </patternFill>
      </fill>
    </dxf>
    <dxf>
      <font>
        <b/>
        <sz val="10"/>
        <color rgb="FF375623"/>
        <name val="Arial"/>
        <charset val="1"/>
      </font>
      <fill>
        <patternFill>
          <bgColor rgb="FFC6EFCE"/>
        </patternFill>
      </fill>
    </dxf>
    <dxf>
      <font>
        <b/>
        <sz val="10"/>
        <color rgb="FF9C5700"/>
        <name val="Arial"/>
        <charset val="1"/>
      </font>
      <fill>
        <patternFill>
          <bgColor rgb="FFFFEB9C"/>
        </patternFill>
      </fill>
    </dxf>
    <dxf>
      <font>
        <b/>
        <sz val="10"/>
        <color rgb="FF9C0006"/>
        <name val="Arial"/>
        <charset val="1"/>
      </font>
      <fill>
        <patternFill>
          <bgColor rgb="FFFFC7CE"/>
        </patternFill>
      </fill>
    </dxf>
    <dxf>
      <font>
        <b/>
        <sz val="10"/>
        <color rgb="FF375623"/>
        <name val="Arial"/>
        <charset val="1"/>
      </font>
      <fill>
        <patternFill>
          <bgColor rgb="FFC6EFCE"/>
        </patternFill>
      </fill>
    </dxf>
    <dxf>
      <font>
        <b/>
        <sz val="10"/>
        <color rgb="FF9C5700"/>
        <name val="Arial"/>
        <charset val="1"/>
      </font>
      <fill>
        <patternFill>
          <bgColor rgb="FFFFEB9C"/>
        </patternFill>
      </fill>
    </dxf>
    <dxf>
      <font>
        <b/>
        <sz val="10"/>
        <color rgb="FF9C0006"/>
        <name val="Arial"/>
        <charset val="1"/>
      </font>
      <fill>
        <patternFill>
          <bgColor rgb="FFFFC7CE"/>
        </patternFill>
      </fill>
    </dxf>
    <dxf>
      <font>
        <b/>
        <sz val="10"/>
        <color rgb="FF1F4E78"/>
        <name val="Arial"/>
        <charset val="1"/>
      </font>
      <fill>
        <patternFill>
          <bgColor rgb="FFBDD7EE"/>
        </patternFill>
      </fill>
    </dxf>
    <dxf>
      <font>
        <b/>
        <sz val="10"/>
        <color rgb="FF375623"/>
        <name val="Arial"/>
        <charset val="1"/>
      </font>
      <fill>
        <patternFill>
          <bgColor rgb="FFC6EFCE"/>
        </patternFill>
      </fill>
    </dxf>
    <dxf>
      <font>
        <b/>
        <sz val="10"/>
        <color rgb="FF9C5700"/>
        <name val="Arial"/>
        <charset val="1"/>
      </font>
      <fill>
        <patternFill>
          <bgColor rgb="FFFFEB9C"/>
        </patternFill>
      </fill>
    </dxf>
    <dxf>
      <font>
        <b/>
        <sz val="10"/>
        <color rgb="FF9C0006"/>
        <name val="Arial"/>
        <charset val="1"/>
      </font>
      <fill>
        <patternFill>
          <bgColor rgb="FFFFC7CE"/>
        </patternFill>
      </fill>
    </dxf>
    <dxf>
      <font>
        <b/>
        <sz val="10"/>
        <color rgb="FF9C0006"/>
        <name val="Arial"/>
        <charset val="1"/>
      </font>
      <fill>
        <patternFill>
          <bgColor rgb="FFFFC7CE"/>
        </patternFill>
      </fill>
    </dxf>
    <dxf>
      <font>
        <b/>
        <sz val="10"/>
        <color rgb="FF9C0006"/>
        <name val="Arial"/>
        <charset val="1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C00000"/>
      <rgbColor rgb="FF00FF00"/>
      <rgbColor rgb="FF0000FF"/>
      <rgbColor rgb="FFFFE699"/>
      <rgbColor rgb="FFFF00FF"/>
      <rgbColor rgb="FF00FFFF"/>
      <rgbColor rgb="FF9C0006"/>
      <rgbColor rgb="FF008000"/>
      <rgbColor rgb="FF000080"/>
      <rgbColor rgb="FF548235"/>
      <rgbColor rgb="FF800080"/>
      <rgbColor rgb="FF008080"/>
      <rgbColor rgb="FFBFBFBF"/>
      <rgbColor rgb="FF808080"/>
      <rgbColor rgb="FF9999FF"/>
      <rgbColor rgb="FF7030A0"/>
      <rgbColor rgb="FFFFF2CC"/>
      <rgbColor rgb="FFEBF1F8"/>
      <rgbColor rgb="FF660066"/>
      <rgbColor rgb="FFFF8080"/>
      <rgbColor rgb="FF0066CC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D6E4F0"/>
      <rgbColor rgb="FFC6EFCE"/>
      <rgbColor rgb="FFFFEB9C"/>
      <rgbColor rgb="FFD9E1F2"/>
      <rgbColor rgb="FFF2F2F2"/>
      <rgbColor rgb="FFF9F9F9"/>
      <rgbColor rgb="FFFFC7CE"/>
      <rgbColor rgb="FF2E75B6"/>
      <rgbColor rgb="FF33CCCC"/>
      <rgbColor rgb="FF99CC00"/>
      <rgbColor rgb="FFFFCC00"/>
      <rgbColor rgb="FFFF9900"/>
      <rgbColor rgb="FFED7D31"/>
      <rgbColor rgb="FF666699"/>
      <rgbColor rgb="FF969696"/>
      <rgbColor rgb="FF1B3A5C"/>
      <rgbColor rgb="FF339966"/>
      <rgbColor rgb="FF003300"/>
      <rgbColor rgb="FF375623"/>
      <rgbColor rgb="FF9C5700"/>
      <rgbColor rgb="FF993366"/>
      <rgbColor rgb="FF1F4E78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22</xdr:row>
          <xdr:rowOff>12700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2050" name="Button 2" descr="🔄  Klicka här: Uppdatera progression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 pitchFamily="2"/>
                  <a:cs typeface="Calibri" pitchFamily="2"/>
                </a:rPr>
                <a:t>🔄  Klicka här: Uppdatera progression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22</xdr:row>
          <xdr:rowOff>12700</xdr:rowOff>
        </xdr:from>
        <xdr:to>
          <xdr:col>6</xdr:col>
          <xdr:colOff>2120900</xdr:colOff>
          <xdr:row>23</xdr:row>
          <xdr:rowOff>0</xdr:rowOff>
        </xdr:to>
        <xdr:sp macro="" textlink="">
          <xdr:nvSpPr>
            <xdr:cNvPr id="2051" name="Button 3" descr="🔍  Klicka här: Visa ej klara mål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🔍  Klicka här: Visa ej klara mål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735D5-F335-E947-AAB8-8F4B04A011B0}">
  <sheetPr codeName="Blad1">
    <tabColor rgb="FF1B3A5C"/>
  </sheetPr>
  <dimension ref="B2:C60"/>
  <sheetViews>
    <sheetView showGridLines="0" tabSelected="1" zoomScale="120" zoomScaleNormal="100" workbookViewId="0">
      <selection activeCell="C8" sqref="C8"/>
    </sheetView>
  </sheetViews>
  <sheetFormatPr baseColWidth="10" defaultColWidth="8.6640625" defaultRowHeight="15" x14ac:dyDescent="0.2"/>
  <cols>
    <col min="1" max="1" width="3" customWidth="1"/>
    <col min="2" max="2" width="28" customWidth="1"/>
    <col min="3" max="3" width="80" customWidth="1"/>
  </cols>
  <sheetData>
    <row r="2" spans="2:3" ht="37.5" customHeight="1" x14ac:dyDescent="0.2">
      <c r="B2" s="81" t="s">
        <v>0</v>
      </c>
      <c r="C2" s="81"/>
    </row>
    <row r="3" spans="2:3" ht="25.5" customHeight="1" x14ac:dyDescent="0.2">
      <c r="B3" s="82" t="s">
        <v>286</v>
      </c>
      <c r="C3" s="82"/>
    </row>
    <row r="5" spans="2:3" ht="16.25" customHeight="1" x14ac:dyDescent="0.2">
      <c r="B5" s="80" t="s">
        <v>1</v>
      </c>
      <c r="C5" s="80"/>
    </row>
    <row r="6" spans="2:3" x14ac:dyDescent="0.2">
      <c r="B6" s="3" t="s">
        <v>2</v>
      </c>
      <c r="C6" s="4"/>
    </row>
    <row r="7" spans="2:3" x14ac:dyDescent="0.2">
      <c r="B7" s="3" t="s">
        <v>3</v>
      </c>
      <c r="C7" s="4"/>
    </row>
    <row r="8" spans="2:3" x14ac:dyDescent="0.2">
      <c r="B8" s="3" t="s">
        <v>4</v>
      </c>
      <c r="C8" s="5"/>
    </row>
    <row r="9" spans="2:3" x14ac:dyDescent="0.2">
      <c r="B9" s="3" t="s">
        <v>5</v>
      </c>
      <c r="C9" s="6" t="str">
        <f>IF(NOT(ISNUMBER(C8)),"",C8+ROUND(365.25*IF(ISNUMBER(ST_LANGD),ST_LANGD,7.5),0)+UPPEHALL_DAGAR)</f>
        <v/>
      </c>
    </row>
    <row r="10" spans="2:3" x14ac:dyDescent="0.2">
      <c r="B10" s="3" t="s">
        <v>6</v>
      </c>
      <c r="C10" s="4"/>
    </row>
    <row r="11" spans="2:3" x14ac:dyDescent="0.2">
      <c r="B11" s="3" t="s">
        <v>287</v>
      </c>
      <c r="C11" s="4"/>
    </row>
    <row r="12" spans="2:3" ht="52" customHeight="1" x14ac:dyDescent="0.2">
      <c r="B12" s="83"/>
      <c r="C12" s="83"/>
    </row>
    <row r="14" spans="2:3" ht="16.25" customHeight="1" x14ac:dyDescent="0.2">
      <c r="B14" s="80" t="s">
        <v>7</v>
      </c>
      <c r="C14" s="80"/>
    </row>
    <row r="15" spans="2:3" ht="60" customHeight="1" x14ac:dyDescent="0.2">
      <c r="B15" s="77" t="s">
        <v>570</v>
      </c>
      <c r="C15" s="77"/>
    </row>
    <row r="16" spans="2:3" ht="44" customHeight="1" x14ac:dyDescent="0.2">
      <c r="B16" s="77" t="s">
        <v>8</v>
      </c>
      <c r="C16" s="77"/>
    </row>
    <row r="18" spans="2:3" ht="16.25" customHeight="1" x14ac:dyDescent="0.2">
      <c r="B18" s="80" t="s">
        <v>9</v>
      </c>
      <c r="C18" s="80"/>
    </row>
    <row r="19" spans="2:3" x14ac:dyDescent="0.2">
      <c r="B19" s="7" t="s">
        <v>10</v>
      </c>
      <c r="C19" s="8" t="s">
        <v>11</v>
      </c>
    </row>
    <row r="20" spans="2:3" x14ac:dyDescent="0.2">
      <c r="B20" s="7" t="s">
        <v>12</v>
      </c>
      <c r="C20" s="8" t="s">
        <v>13</v>
      </c>
    </row>
    <row r="21" spans="2:3" x14ac:dyDescent="0.2">
      <c r="B21" s="7" t="s">
        <v>14</v>
      </c>
      <c r="C21" s="8" t="s">
        <v>15</v>
      </c>
    </row>
    <row r="22" spans="2:3" x14ac:dyDescent="0.2">
      <c r="B22" s="7" t="s">
        <v>16</v>
      </c>
      <c r="C22" s="8" t="s">
        <v>17</v>
      </c>
    </row>
    <row r="23" spans="2:3" x14ac:dyDescent="0.2">
      <c r="B23" s="7" t="s">
        <v>18</v>
      </c>
      <c r="C23" s="8" t="s">
        <v>19</v>
      </c>
    </row>
    <row r="25" spans="2:3" ht="16.25" customHeight="1" x14ac:dyDescent="0.2">
      <c r="B25" s="80" t="s">
        <v>20</v>
      </c>
      <c r="C25" s="80"/>
    </row>
    <row r="26" spans="2:3" x14ac:dyDescent="0.2">
      <c r="B26" s="9" t="s">
        <v>21</v>
      </c>
      <c r="C26" s="8" t="s">
        <v>22</v>
      </c>
    </row>
    <row r="27" spans="2:3" x14ac:dyDescent="0.2">
      <c r="B27" s="10" t="s">
        <v>23</v>
      </c>
      <c r="C27" s="8" t="s">
        <v>24</v>
      </c>
    </row>
    <row r="28" spans="2:3" x14ac:dyDescent="0.2">
      <c r="B28" s="11" t="s">
        <v>25</v>
      </c>
      <c r="C28" s="8" t="s">
        <v>26</v>
      </c>
    </row>
    <row r="29" spans="2:3" x14ac:dyDescent="0.2">
      <c r="B29" s="12" t="s">
        <v>27</v>
      </c>
      <c r="C29" s="8" t="s">
        <v>28</v>
      </c>
    </row>
    <row r="31" spans="2:3" ht="16.25" customHeight="1" x14ac:dyDescent="0.2">
      <c r="B31" s="80" t="s">
        <v>505</v>
      </c>
      <c r="C31" s="80"/>
    </row>
    <row r="32" spans="2:3" ht="44" customHeight="1" x14ac:dyDescent="0.2">
      <c r="B32" s="77" t="s">
        <v>506</v>
      </c>
      <c r="C32" s="77"/>
    </row>
    <row r="33" spans="2:3" ht="27" customHeight="1" x14ac:dyDescent="0.2">
      <c r="B33" s="7" t="s">
        <v>507</v>
      </c>
      <c r="C33" s="8" t="s">
        <v>508</v>
      </c>
    </row>
    <row r="34" spans="2:3" ht="15" customHeight="1" x14ac:dyDescent="0.2">
      <c r="B34" s="7" t="s">
        <v>509</v>
      </c>
      <c r="C34" s="8" t="s">
        <v>510</v>
      </c>
    </row>
    <row r="35" spans="2:3" ht="15" customHeight="1" x14ac:dyDescent="0.2">
      <c r="B35" s="7" t="s">
        <v>511</v>
      </c>
      <c r="C35" s="8" t="s">
        <v>512</v>
      </c>
    </row>
    <row r="36" spans="2:3" ht="15" customHeight="1" x14ac:dyDescent="0.2">
      <c r="B36" s="7" t="s">
        <v>513</v>
      </c>
      <c r="C36" s="8" t="s">
        <v>514</v>
      </c>
    </row>
    <row r="37" spans="2:3" ht="15" customHeight="1" x14ac:dyDescent="0.2">
      <c r="B37" s="7" t="s">
        <v>515</v>
      </c>
      <c r="C37" s="8" t="s">
        <v>516</v>
      </c>
    </row>
    <row r="38" spans="2:3" ht="27" customHeight="1" x14ac:dyDescent="0.2">
      <c r="B38" s="7" t="s">
        <v>517</v>
      </c>
      <c r="C38" s="8" t="s">
        <v>518</v>
      </c>
    </row>
    <row r="39" spans="2:3" ht="27" customHeight="1" x14ac:dyDescent="0.2">
      <c r="B39" s="7" t="s">
        <v>519</v>
      </c>
      <c r="C39" s="8" t="s">
        <v>520</v>
      </c>
    </row>
    <row r="40" spans="2:3" ht="27" customHeight="1" x14ac:dyDescent="0.2">
      <c r="B40" s="7" t="s">
        <v>521</v>
      </c>
      <c r="C40" s="8" t="s">
        <v>522</v>
      </c>
    </row>
    <row r="41" spans="2:3" ht="15" customHeight="1" x14ac:dyDescent="0.2">
      <c r="B41" s="7" t="s">
        <v>523</v>
      </c>
      <c r="C41" s="8" t="s">
        <v>524</v>
      </c>
    </row>
    <row r="42" spans="2:3" ht="15" customHeight="1" x14ac:dyDescent="0.2">
      <c r="B42" s="7" t="s">
        <v>525</v>
      </c>
      <c r="C42" s="8" t="s">
        <v>526</v>
      </c>
    </row>
    <row r="43" spans="2:3" ht="15" customHeight="1" x14ac:dyDescent="0.2">
      <c r="B43" s="7" t="s">
        <v>527</v>
      </c>
      <c r="C43" s="8" t="s">
        <v>528</v>
      </c>
    </row>
    <row r="44" spans="2:3" ht="27" customHeight="1" x14ac:dyDescent="0.2">
      <c r="B44" s="7" t="s">
        <v>529</v>
      </c>
      <c r="C44" s="8" t="s">
        <v>530</v>
      </c>
    </row>
    <row r="45" spans="2:3" ht="15" customHeight="1" x14ac:dyDescent="0.2">
      <c r="B45" s="7" t="s">
        <v>531</v>
      </c>
      <c r="C45" s="8" t="s">
        <v>532</v>
      </c>
    </row>
    <row r="46" spans="2:3" ht="15" customHeight="1" x14ac:dyDescent="0.2">
      <c r="B46" s="7" t="s">
        <v>533</v>
      </c>
      <c r="C46" s="8" t="s">
        <v>534</v>
      </c>
    </row>
    <row r="47" spans="2:3" ht="15" customHeight="1" x14ac:dyDescent="0.2">
      <c r="B47" s="7" t="s">
        <v>535</v>
      </c>
      <c r="C47" s="8" t="s">
        <v>536</v>
      </c>
    </row>
    <row r="48" spans="2:3" ht="15" customHeight="1" x14ac:dyDescent="0.2">
      <c r="B48" s="7" t="s">
        <v>537</v>
      </c>
      <c r="C48" s="8" t="s">
        <v>538</v>
      </c>
    </row>
    <row r="49" spans="2:3" ht="15" customHeight="1" x14ac:dyDescent="0.2">
      <c r="B49" s="7" t="s">
        <v>539</v>
      </c>
      <c r="C49" s="8" t="s">
        <v>540</v>
      </c>
    </row>
    <row r="50" spans="2:3" ht="15" customHeight="1" x14ac:dyDescent="0.2">
      <c r="B50" s="7" t="s">
        <v>541</v>
      </c>
      <c r="C50" s="8" t="s">
        <v>542</v>
      </c>
    </row>
    <row r="51" spans="2:3" ht="27" customHeight="1" x14ac:dyDescent="0.2">
      <c r="B51" s="7" t="s">
        <v>543</v>
      </c>
      <c r="C51" s="8" t="s">
        <v>544</v>
      </c>
    </row>
    <row r="52" spans="2:3" ht="15" customHeight="1" x14ac:dyDescent="0.2">
      <c r="B52" s="7" t="s">
        <v>545</v>
      </c>
      <c r="C52" s="8" t="s">
        <v>546</v>
      </c>
    </row>
    <row r="53" spans="2:3" ht="15" customHeight="1" x14ac:dyDescent="0.2">
      <c r="B53" s="7" t="s">
        <v>547</v>
      </c>
      <c r="C53" s="8" t="s">
        <v>548</v>
      </c>
    </row>
    <row r="54" spans="2:3" ht="15" customHeight="1" x14ac:dyDescent="0.2">
      <c r="B54" s="7" t="s">
        <v>549</v>
      </c>
      <c r="C54" s="8" t="s">
        <v>550</v>
      </c>
    </row>
    <row r="55" spans="2:3" ht="15" customHeight="1" x14ac:dyDescent="0.2">
      <c r="B55" s="7" t="s">
        <v>551</v>
      </c>
      <c r="C55" s="8" t="s">
        <v>552</v>
      </c>
    </row>
    <row r="56" spans="2:3" ht="15" customHeight="1" x14ac:dyDescent="0.2">
      <c r="B56" s="7" t="s">
        <v>553</v>
      </c>
      <c r="C56" s="8" t="s">
        <v>554</v>
      </c>
    </row>
    <row r="57" spans="2:3" ht="44" customHeight="1" x14ac:dyDescent="0.2">
      <c r="B57" s="77" t="s">
        <v>555</v>
      </c>
      <c r="C57" s="77"/>
    </row>
    <row r="59" spans="2:3" ht="16.25" customHeight="1" x14ac:dyDescent="0.2">
      <c r="B59" s="80" t="s">
        <v>567</v>
      </c>
      <c r="C59" s="80"/>
    </row>
    <row r="60" spans="2:3" ht="46" customHeight="1" x14ac:dyDescent="0.2">
      <c r="B60" s="77" t="s">
        <v>571</v>
      </c>
      <c r="C60" s="77"/>
    </row>
  </sheetData>
  <mergeCells count="14">
    <mergeCell ref="B31:C31"/>
    <mergeCell ref="B32:C32"/>
    <mergeCell ref="B57:C57"/>
    <mergeCell ref="B59:C59"/>
    <mergeCell ref="B60:C60"/>
    <mergeCell ref="B16:C16"/>
    <mergeCell ref="B18:C18"/>
    <mergeCell ref="B25:C25"/>
    <mergeCell ref="B2:C2"/>
    <mergeCell ref="B3:C3"/>
    <mergeCell ref="B5:C5"/>
    <mergeCell ref="B14:C14"/>
    <mergeCell ref="B15:C15"/>
    <mergeCell ref="B12:C12"/>
  </mergeCells>
  <pageMargins left="0.75" right="0.75" top="1" bottom="1" header="0.511811023622047" footer="0.511811023622047"/>
  <pageSetup paperSize="9" orientation="portrait" horizontalDpi="300" verticalDpi="30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59912-2240-2C47-90F0-5361ECBC53C8}">
  <sheetPr codeName="Blad2">
    <tabColor rgb="FF548235"/>
  </sheetPr>
  <dimension ref="B2:G32"/>
  <sheetViews>
    <sheetView showGridLines="0" zoomScale="111" zoomScaleNormal="100" workbookViewId="0">
      <pane ySplit="5" topLeftCell="A6" activePane="bottomLeft" state="frozen"/>
      <selection pane="bottomLeft" activeCell="F12" sqref="F12"/>
    </sheetView>
  </sheetViews>
  <sheetFormatPr baseColWidth="10" defaultColWidth="8.6640625" defaultRowHeight="15" x14ac:dyDescent="0.2"/>
  <cols>
    <col min="1" max="1" width="3" customWidth="1"/>
    <col min="2" max="2" width="28" customWidth="1"/>
    <col min="3" max="5" width="14" customWidth="1"/>
    <col min="6" max="6" width="16" customWidth="1"/>
    <col min="7" max="7" width="28" customWidth="1"/>
  </cols>
  <sheetData>
    <row r="2" spans="2:7" ht="36" customHeight="1" x14ac:dyDescent="0.2">
      <c r="B2" s="86" t="s">
        <v>29</v>
      </c>
      <c r="C2" s="86"/>
      <c r="D2" s="86"/>
      <c r="E2" s="86"/>
      <c r="F2" s="86"/>
      <c r="G2" s="86"/>
    </row>
    <row r="3" spans="2:7" ht="21.75" customHeight="1" x14ac:dyDescent="0.2">
      <c r="B3" s="82" t="str">
        <f>IF(Bakgrund!$C$6="","Fyll i ditt namn på Bakgrund-fliken",CONCATENATE("ST-läkare: ",Bakgrund!$C$6))</f>
        <v>Fyll i ditt namn på Bakgrund-fliken</v>
      </c>
      <c r="C3" s="82"/>
      <c r="D3" s="82"/>
      <c r="E3" s="82"/>
      <c r="F3" s="82"/>
      <c r="G3" s="82"/>
    </row>
    <row r="5" spans="2:7" ht="16.25" customHeight="1" x14ac:dyDescent="0.2">
      <c r="B5" s="80" t="str">
        <f>"Tidsprogression (planerad ST: "&amp;SUBSTITUTE(IF(ISNUMBER(ST_LANGD),ST_LANGD,7.5)&amp;"",".",",")&amp;" år"&amp;IF(UPPEHALL_DAGAR&gt;0," + "&amp;UPPEHALL_DAGAR&amp;" dagars uppehåll","")&amp;")"</f>
        <v>Tidsprogression (planerad ST: 7,5 år)</v>
      </c>
      <c r="C5" s="80"/>
      <c r="D5" s="80"/>
      <c r="E5" s="80"/>
      <c r="F5" s="80"/>
      <c r="G5" s="80"/>
    </row>
    <row r="6" spans="2:7" x14ac:dyDescent="0.2">
      <c r="B6" s="3" t="s">
        <v>30</v>
      </c>
      <c r="C6" s="13" t="str">
        <f>IF(NOT(ISNUMBER(Bakgrund!$C$8)),"—",Bakgrund!$C$8)</f>
        <v>—</v>
      </c>
      <c r="D6" s="14"/>
      <c r="E6" s="14"/>
      <c r="F6" s="14"/>
      <c r="G6" s="14"/>
    </row>
    <row r="7" spans="2:7" x14ac:dyDescent="0.2">
      <c r="B7" s="3" t="s">
        <v>31</v>
      </c>
      <c r="C7" s="13" t="str">
        <f>IF(NOT(ISNUMBER(Bakgrund!$C$8)),"—",Bakgrund!$C$9)</f>
        <v>—</v>
      </c>
      <c r="D7" s="88" t="str">
        <f>IF(UPPEHALL_DAGAR&gt;0,"inkl. "&amp;UPPEHALL_DAGAR&amp;" dagars uppehåll – se fliken Tid &amp; placeringar","")</f>
        <v/>
      </c>
      <c r="E7" s="88"/>
      <c r="F7" s="88"/>
      <c r="G7" s="88"/>
    </row>
    <row r="8" spans="2:7" x14ac:dyDescent="0.2">
      <c r="B8" s="3" t="s">
        <v>1251</v>
      </c>
      <c r="C8" s="15">
        <f ca="1">IF(NOT(ISNUMBER(Bakgrund!$C$8)),0,MAX(0,ROUND(TODAY()-Bakgrund!$C$8-UPPEHALL_HITTILLS,0)))</f>
        <v>0</v>
      </c>
      <c r="D8" s="88" t="str">
        <f ca="1">IF(UPPEHALL_HITTILLS&gt;0,ROUND(UPPEHALL_HITTILLS,0)&amp;" dagars uppehåll hittills räknas inte","")</f>
        <v/>
      </c>
      <c r="E8" s="88"/>
      <c r="F8" s="88"/>
      <c r="G8" s="88"/>
    </row>
    <row r="9" spans="2:7" x14ac:dyDescent="0.2">
      <c r="B9" s="3" t="s">
        <v>32</v>
      </c>
      <c r="C9" s="15">
        <f ca="1">IF(NOT(ISNUMBER(Bakgrund!$C$8)),0,MAX(0,Bakgrund!$C$9-TODAY()))</f>
        <v>0</v>
      </c>
      <c r="D9" s="14"/>
      <c r="E9" s="14"/>
      <c r="F9" s="14"/>
      <c r="G9" s="14"/>
    </row>
    <row r="10" spans="2:7" x14ac:dyDescent="0.2">
      <c r="B10" s="3" t="s">
        <v>33</v>
      </c>
      <c r="C10" s="16">
        <f>IF(NOT(ISNUMBER(Bakgrund!$C$8)),0,MIN(1,MAX(0,C8/(365.25*IF(ISNUMBER(ST_LANGD),ST_LANGD,7.5)))))</f>
        <v>0</v>
      </c>
      <c r="D10" s="14"/>
      <c r="E10" s="14"/>
      <c r="F10" s="14"/>
      <c r="G10" s="14"/>
    </row>
    <row r="11" spans="2:7" ht="25.5" customHeight="1" x14ac:dyDescent="0.2">
      <c r="B11" s="3" t="s">
        <v>34</v>
      </c>
      <c r="C11" s="87">
        <f>C10</f>
        <v>0</v>
      </c>
      <c r="D11" s="87"/>
      <c r="E11" s="87"/>
      <c r="F11" s="87"/>
      <c r="G11" s="87"/>
    </row>
    <row r="13" spans="2:7" ht="16.25" customHeight="1" x14ac:dyDescent="0.2">
      <c r="B13" s="80" t="s">
        <v>35</v>
      </c>
      <c r="C13" s="80"/>
      <c r="D13" s="80"/>
      <c r="E13" s="80"/>
      <c r="F13" s="80"/>
      <c r="G13" s="80"/>
    </row>
    <row r="14" spans="2:7" ht="24" customHeight="1" x14ac:dyDescent="0.2">
      <c r="B14" s="17" t="s">
        <v>36</v>
      </c>
      <c r="C14" s="17" t="s">
        <v>37</v>
      </c>
      <c r="D14" s="17" t="s">
        <v>38</v>
      </c>
      <c r="E14" s="17" t="s">
        <v>39</v>
      </c>
      <c r="F14" s="17" t="s">
        <v>40</v>
      </c>
      <c r="G14" s="17" t="s">
        <v>41</v>
      </c>
    </row>
    <row r="15" spans="2:7" ht="25.5" customHeight="1" x14ac:dyDescent="0.2">
      <c r="B15" s="18" t="s">
        <v>296</v>
      </c>
      <c r="C15" s="19">
        <f>Ischemi!$D$96</f>
        <v>55</v>
      </c>
      <c r="D15" s="20">
        <f>Ischemi!$G$96</f>
        <v>0</v>
      </c>
      <c r="E15" s="21">
        <f t="shared" ref="E15:E19" si="0">IF(C15=0,0,D15/C15)</f>
        <v>0</v>
      </c>
      <c r="F15" s="22">
        <f t="shared" ref="F15:F19" si="1">E15</f>
        <v>0</v>
      </c>
      <c r="G15" s="23" t="str">
        <f>IF(D15=0,"❌ Ej påbörjad",IF(D15=C15,"🟢 Klart!",IF(D15/C15&gt;=0.8,"🔵 Nästan klart",IF(D15/C15&gt;=0.4,"🟡 Pågående","🟠 Påbörjat"))))</f>
        <v>❌ Ej påbörjad</v>
      </c>
    </row>
    <row r="16" spans="2:7" ht="25.5" customHeight="1" x14ac:dyDescent="0.2">
      <c r="B16" s="24" t="s">
        <v>297</v>
      </c>
      <c r="C16" s="19">
        <f>HIA!$D$63</f>
        <v>31</v>
      </c>
      <c r="D16" s="20">
        <f>HIA!$G$63</f>
        <v>0</v>
      </c>
      <c r="E16" s="21">
        <f t="shared" si="0"/>
        <v>0</v>
      </c>
      <c r="F16" s="22">
        <f t="shared" si="1"/>
        <v>0</v>
      </c>
      <c r="G16" s="23" t="str">
        <f>IF(D16=0,"❌ Ej påbörjad",IF(D16=C16,"🟢 Klart!",IF(D16/C16&gt;=0.8,"🔵 Nästan klart",IF(D16/C16&gt;=0.4,"🟡 Pågående","🟠 Påbörjat"))))</f>
        <v>❌ Ej påbörjad</v>
      </c>
    </row>
    <row r="17" spans="2:7" ht="25.5" customHeight="1" x14ac:dyDescent="0.2">
      <c r="B17" s="25" t="s">
        <v>298</v>
      </c>
      <c r="C17" s="19">
        <f>'Hjärtsvikt &amp; klaff'!$D$70</f>
        <v>33</v>
      </c>
      <c r="D17" s="20">
        <f>'Hjärtsvikt &amp; klaff'!$G$70</f>
        <v>0</v>
      </c>
      <c r="E17" s="21">
        <f t="shared" si="0"/>
        <v>0</v>
      </c>
      <c r="F17" s="22">
        <f t="shared" si="1"/>
        <v>0</v>
      </c>
      <c r="G17" s="23" t="str">
        <f>IF(D17=0,"❌ Ej påbörjad",IF(D17=C17,"🟢 Klart!",IF(D17/C17&gt;=0.8,"🔵 Nästan klart",IF(D17/C17&gt;=0.4,"🟡 Pågående","🟠 Påbörjat"))))</f>
        <v>❌ Ej påbörjad</v>
      </c>
    </row>
    <row r="18" spans="2:7" ht="25.5" customHeight="1" x14ac:dyDescent="0.2">
      <c r="B18" s="26" t="s">
        <v>43</v>
      </c>
      <c r="C18" s="19">
        <f>Arytmi!$D$79</f>
        <v>42</v>
      </c>
      <c r="D18" s="20">
        <f>Arytmi!$G$79</f>
        <v>0</v>
      </c>
      <c r="E18" s="21">
        <f t="shared" si="0"/>
        <v>0</v>
      </c>
      <c r="F18" s="22">
        <f t="shared" si="1"/>
        <v>0</v>
      </c>
      <c r="G18" s="23" t="str">
        <f>IF(D18=0,"❌ Ej påbörjad",IF(D18=C18,"🟢 Klart!",IF(D18/C18&gt;=0.8,"🔵 Nästan klart",IF(D18/C18&gt;=0.4,"🟡 Pågående","🟠 Påbörjat"))))</f>
        <v>❌ Ej påbörjad</v>
      </c>
    </row>
    <row r="19" spans="2:7" ht="30" customHeight="1" x14ac:dyDescent="0.2">
      <c r="B19" s="27" t="s">
        <v>44</v>
      </c>
      <c r="C19" s="28">
        <f>SUM(C15:C18)</f>
        <v>161</v>
      </c>
      <c r="D19" s="28">
        <f>SUM(D15:D18)</f>
        <v>0</v>
      </c>
      <c r="E19" s="29">
        <f t="shared" si="0"/>
        <v>0</v>
      </c>
      <c r="F19" s="30">
        <f t="shared" si="1"/>
        <v>0</v>
      </c>
      <c r="G19" s="31" t="str">
        <f>IF(D19=0,"❌ Ej påbörjad",IF(D19/C19&gt;=0.95,"🟢 Klart!",IF(D19/C19&gt;=0.4,"🟡 Pågående","🟠 Påbörjat")))</f>
        <v>❌ Ej påbörjad</v>
      </c>
    </row>
    <row r="22" spans="2:7" ht="16.25" customHeight="1" x14ac:dyDescent="0.2">
      <c r="B22" s="80" t="s">
        <v>45</v>
      </c>
      <c r="C22" s="80"/>
      <c r="D22" s="80"/>
      <c r="E22" s="80"/>
      <c r="F22" s="80"/>
      <c r="G22" s="80"/>
    </row>
    <row r="23" spans="2:7" ht="27.75" customHeight="1" x14ac:dyDescent="0.2">
      <c r="B23" s="84" t="s">
        <v>46</v>
      </c>
      <c r="C23" s="84"/>
      <c r="D23" s="84"/>
      <c r="E23" s="85" t="s">
        <v>47</v>
      </c>
      <c r="F23" s="85"/>
      <c r="G23" s="85"/>
    </row>
    <row r="25" spans="2:7" ht="16.25" customHeight="1" x14ac:dyDescent="0.2">
      <c r="B25" s="80" t="s">
        <v>1252</v>
      </c>
      <c r="C25" s="80"/>
      <c r="D25" s="80"/>
      <c r="E25" s="80"/>
      <c r="F25" s="80"/>
      <c r="G25" s="80"/>
    </row>
    <row r="26" spans="2:7" ht="24" customHeight="1" x14ac:dyDescent="0.2">
      <c r="B26" s="17" t="s">
        <v>50</v>
      </c>
      <c r="C26" s="17" t="s">
        <v>1218</v>
      </c>
      <c r="D26" s="17" t="s">
        <v>1219</v>
      </c>
      <c r="E26" s="17" t="s">
        <v>1220</v>
      </c>
      <c r="F26" s="17" t="s">
        <v>249</v>
      </c>
      <c r="G26" s="17" t="s">
        <v>1221</v>
      </c>
    </row>
    <row r="27" spans="2:7" ht="25.5" customHeight="1" x14ac:dyDescent="0.2">
      <c r="B27" s="18" t="str">
        <f>"Veckor  (totalt "&amp;SUBSTITUTE(ROUND('Tid &amp; placeringar'!$H$31,1)&amp;"",".",",")&amp;")"</f>
        <v>Veckor  (totalt 0)</v>
      </c>
      <c r="C27" s="69">
        <f>'Tid &amp; placeringar'!C$31</f>
        <v>0</v>
      </c>
      <c r="D27" s="69">
        <f>'Tid &amp; placeringar'!D$31</f>
        <v>0</v>
      </c>
      <c r="E27" s="69">
        <f>'Tid &amp; placeringar'!E$31</f>
        <v>0</v>
      </c>
      <c r="F27" s="69">
        <f>'Tid &amp; placeringar'!F$31</f>
        <v>0</v>
      </c>
      <c r="G27" s="69">
        <f>'Tid &amp; placeringar'!G$31</f>
        <v>0</v>
      </c>
    </row>
    <row r="29" spans="2:7" ht="16.25" customHeight="1" x14ac:dyDescent="0.2">
      <c r="B29" s="80" t="s">
        <v>1253</v>
      </c>
      <c r="C29" s="80"/>
      <c r="D29" s="80"/>
      <c r="E29" s="80"/>
      <c r="F29" s="80"/>
      <c r="G29" s="80"/>
    </row>
    <row r="30" spans="2:7" ht="24" customHeight="1" x14ac:dyDescent="0.2">
      <c r="B30" s="17" t="s">
        <v>1254</v>
      </c>
      <c r="C30" s="17" t="s">
        <v>37</v>
      </c>
      <c r="D30" s="17" t="s">
        <v>1255</v>
      </c>
      <c r="E30" s="17" t="s">
        <v>39</v>
      </c>
      <c r="F30" s="17" t="s">
        <v>40</v>
      </c>
      <c r="G30" s="17" t="s">
        <v>41</v>
      </c>
    </row>
    <row r="31" spans="2:7" ht="25.5" customHeight="1" x14ac:dyDescent="0.2">
      <c r="B31" s="18" t="s">
        <v>1256</v>
      </c>
      <c r="C31" s="19">
        <f>ROWS('Delmål internmedicin'!$B$8:$B$13)+ROWS('Delmål internmedicin'!$B$17:$B$21)+ROWS('Delmål internmedicin'!$B$25:$B$37)</f>
        <v>24</v>
      </c>
      <c r="D31" s="20">
        <f>COUNTIF('Delmål internmedicin'!$F$8:$F$37,"🟢 Klar")</f>
        <v>0</v>
      </c>
      <c r="E31" s="21">
        <f>IF(C31=0,0,D31/C31)</f>
        <v>0</v>
      </c>
      <c r="F31" s="22">
        <f>E31</f>
        <v>0</v>
      </c>
      <c r="G31" s="23" t="str">
        <f>IF(D31=0,"❌ Ej påbörjad",IF(D31=C31,"🟢 Klart!",IF(D31/C31&gt;=0.8,"🔵 Nästan klart",IF(D31/C31&gt;=0.4,"🟡 Pågående","🟠 Påbörjat"))))</f>
        <v>❌ Ej påbörjad</v>
      </c>
    </row>
    <row r="32" spans="2:7" ht="25.5" customHeight="1" x14ac:dyDescent="0.2">
      <c r="B32" s="24" t="s">
        <v>1257</v>
      </c>
      <c r="C32" s="19">
        <f>ROWS('Delmål kardiologi'!$B$8:$B$13)+ROWS('Delmål kardiologi'!$B$17:$B$21)+ROWS('Delmål kardiologi'!$B$25:$B$37)</f>
        <v>24</v>
      </c>
      <c r="D32" s="20">
        <f>COUNTIF('Delmål kardiologi'!$F$8:$F$37,"🟢 Klar")</f>
        <v>0</v>
      </c>
      <c r="E32" s="21">
        <f>IF(C32=0,0,D32/C32)</f>
        <v>0</v>
      </c>
      <c r="F32" s="22">
        <f>E32</f>
        <v>0</v>
      </c>
      <c r="G32" s="23" t="str">
        <f>IF(D32=0,"❌ Ej påbörjad",IF(D32=C32,"🟢 Klart!",IF(D32/C32&gt;=0.8,"🔵 Nästan klart",IF(D32/C32&gt;=0.4,"🟡 Pågående","🟠 Påbörjat"))))</f>
        <v>❌ Ej påbörjad</v>
      </c>
    </row>
  </sheetData>
  <mergeCells count="12">
    <mergeCell ref="B2:G2"/>
    <mergeCell ref="B3:G3"/>
    <mergeCell ref="B5:G5"/>
    <mergeCell ref="C11:G11"/>
    <mergeCell ref="B13:G13"/>
    <mergeCell ref="D7:G7"/>
    <mergeCell ref="D8:G8"/>
    <mergeCell ref="B25:G25"/>
    <mergeCell ref="B29:G29"/>
    <mergeCell ref="B22:G22"/>
    <mergeCell ref="B23:D23"/>
    <mergeCell ref="E23:G23"/>
  </mergeCells>
  <conditionalFormatting sqref="C11">
    <cfRule type="dataBar" priority="2">
      <dataBar>
        <cfvo type="num" val="0"/>
        <cfvo type="num" val="1"/>
        <color rgb="FF2E75B6"/>
      </dataBar>
      <extLst>
        <ext xmlns:x14="http://schemas.microsoft.com/office/spreadsheetml/2009/9/main" uri="{B025F937-C7B1-47D3-B67F-A62EFF666E3E}">
          <x14:id>{313EE718-A0CC-4082-B74E-5B59E6B9A69F}</x14:id>
        </ext>
      </extLst>
    </cfRule>
  </conditionalFormatting>
  <conditionalFormatting sqref="F15">
    <cfRule type="dataBar" priority="3">
      <dataBar showValue="0">
        <cfvo type="num" val="0"/>
        <cfvo type="num" val="1"/>
        <color rgb="FF2E75B6"/>
      </dataBar>
      <extLst>
        <ext xmlns:x14="http://schemas.microsoft.com/office/spreadsheetml/2009/9/main" uri="{B025F937-C7B1-47D3-B67F-A62EFF666E3E}">
          <x14:id>{42DA7C43-4691-4D30-9EDC-ECCB28D125EC}</x14:id>
        </ext>
      </extLst>
    </cfRule>
  </conditionalFormatting>
  <conditionalFormatting sqref="F16">
    <cfRule type="dataBar" priority="4">
      <dataBar showValue="0">
        <cfvo type="num" val="0"/>
        <cfvo type="num" val="1"/>
        <color rgb="FFC00000"/>
      </dataBar>
      <extLst>
        <ext xmlns:x14="http://schemas.microsoft.com/office/spreadsheetml/2009/9/main" uri="{B025F937-C7B1-47D3-B67F-A62EFF666E3E}">
          <x14:id>{5DD39444-95AD-416F-BE33-76960033AC88}</x14:id>
        </ext>
      </extLst>
    </cfRule>
  </conditionalFormatting>
  <conditionalFormatting sqref="F17">
    <cfRule type="dataBar" priority="5">
      <dataBar showValue="0">
        <cfvo type="num" val="0"/>
        <cfvo type="num" val="1"/>
        <color rgb="FF548235"/>
      </dataBar>
      <extLst>
        <ext xmlns:x14="http://schemas.microsoft.com/office/spreadsheetml/2009/9/main" uri="{B025F937-C7B1-47D3-B67F-A62EFF666E3E}">
          <x14:id>{C65E5AF1-3814-41A8-8524-3CA03A4D60FD}</x14:id>
        </ext>
      </extLst>
    </cfRule>
  </conditionalFormatting>
  <conditionalFormatting sqref="F18">
    <cfRule type="dataBar" priority="6">
      <dataBar showValue="0">
        <cfvo type="num" val="0"/>
        <cfvo type="num" val="1"/>
        <color rgb="FF7030A0"/>
      </dataBar>
      <extLst>
        <ext xmlns:x14="http://schemas.microsoft.com/office/spreadsheetml/2009/9/main" uri="{B025F937-C7B1-47D3-B67F-A62EFF666E3E}">
          <x14:id>{B3694978-D326-4C39-B543-8F2FF8823BA4}</x14:id>
        </ext>
      </extLst>
    </cfRule>
  </conditionalFormatting>
  <conditionalFormatting sqref="F19">
    <cfRule type="dataBar" priority="8">
      <dataBar showValue="0">
        <cfvo type="num" val="0"/>
        <cfvo type="num" val="1"/>
        <color rgb="FF548235"/>
      </dataBar>
      <extLst>
        <ext xmlns:x14="http://schemas.microsoft.com/office/spreadsheetml/2009/9/main" uri="{B025F937-C7B1-47D3-B67F-A62EFF666E3E}">
          <x14:id>{B152D567-5CA0-44E6-9FA0-29271497B7D0}</x14:id>
        </ext>
      </extLst>
    </cfRule>
  </conditionalFormatting>
  <conditionalFormatting sqref="F31">
    <cfRule type="dataBar" priority="9">
      <dataBar showValue="0">
        <cfvo type="num" val="0"/>
        <cfvo type="num" val="1"/>
        <color rgb="FF2E75B6"/>
      </dataBar>
      <extLst>
        <ext xmlns:x14="http://schemas.microsoft.com/office/spreadsheetml/2009/9/main" uri="{B025F937-C7B1-47D3-B67F-A62EFF666E3E}">
          <x14:id>{6E1C2B9A-1F44-4C7B-9A51-3D2B7A4C9E01}</x14:id>
        </ext>
      </extLst>
    </cfRule>
  </conditionalFormatting>
  <conditionalFormatting sqref="F32">
    <cfRule type="dataBar" priority="10">
      <dataBar showValue="0">
        <cfvo type="num" val="0"/>
        <cfvo type="num" val="1"/>
        <color rgb="FF548235"/>
      </dataBar>
      <extLst>
        <ext xmlns:x14="http://schemas.microsoft.com/office/spreadsheetml/2009/9/main" uri="{B025F937-C7B1-47D3-B67F-A62EFF666E3E}">
          <x14:id>{6E1C2B9A-1F44-4C7B-9A51-3D2B7A4C9E02}</x14:id>
        </ext>
      </extLst>
    </cfRule>
  </conditionalFormatting>
  <pageMargins left="0.75" right="0.75" top="1" bottom="1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BtnUppdateraProgression" altText="🔄  Klicka här: Uppdatera progression">
                <anchor moveWithCells="1" sizeWithCells="1">
                  <from>
                    <xdr:col>1</xdr:col>
                    <xdr:colOff>0</xdr:colOff>
                    <xdr:row>22</xdr:row>
                    <xdr:rowOff>12700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BtnVisaEjKlara" altText="🔍  Klicka här: Visa ej klara mål">
                <anchor moveWithCells="1" sizeWithCells="1">
                  <from>
                    <xdr:col>4</xdr:col>
                    <xdr:colOff>0</xdr:colOff>
                    <xdr:row>22</xdr:row>
                    <xdr:rowOff>12700</xdr:rowOff>
                  </from>
                  <to>
                    <xdr:col>6</xdr:col>
                    <xdr:colOff>2120900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13EE718-A0CC-4082-B74E-5B59E6B9A69F}">
            <x14:dataBar axisPosition="none">
              <x14:cfvo type="num">
                <xm:f>0</xm:f>
              </x14:cfvo>
              <x14:cfvo type="num">
                <xm:f>1</xm:f>
              </x14:cfvo>
              <x14:negativeFillColor rgb="FF2E75B6"/>
            </x14:dataBar>
          </x14:cfRule>
          <xm:sqref>C11</xm:sqref>
        </x14:conditionalFormatting>
        <x14:conditionalFormatting xmlns:xm="http://schemas.microsoft.com/office/excel/2006/main">
          <x14:cfRule type="dataBar" id="{42DA7C43-4691-4D30-9EDC-ECCB28D125EC}">
            <x14:dataBar axisPosition="none">
              <x14:cfvo type="num">
                <xm:f>0</xm:f>
              </x14:cfvo>
              <x14:cfvo type="num">
                <xm:f>1</xm:f>
              </x14:cfvo>
              <x14:negativeFillColor rgb="FF2E75B6"/>
            </x14:dataBar>
          </x14:cfRule>
          <xm:sqref>F15</xm:sqref>
        </x14:conditionalFormatting>
        <x14:conditionalFormatting xmlns:xm="http://schemas.microsoft.com/office/excel/2006/main">
          <x14:cfRule type="dataBar" id="{5DD39444-95AD-416F-BE33-76960033AC88}">
            <x14:dataBar axisPosition="none">
              <x14:cfvo type="num">
                <xm:f>0</xm:f>
              </x14:cfvo>
              <x14:cfvo type="num">
                <xm:f>1</xm:f>
              </x14:cfvo>
              <x14:negativeFillColor rgb="FFC00000"/>
            </x14:dataBar>
          </x14:cfRule>
          <xm:sqref>F16</xm:sqref>
        </x14:conditionalFormatting>
        <x14:conditionalFormatting xmlns:xm="http://schemas.microsoft.com/office/excel/2006/main">
          <x14:cfRule type="dataBar" id="{C65E5AF1-3814-41A8-8524-3CA03A4D60FD}">
            <x14:dataBar axisPosition="none">
              <x14:cfvo type="num">
                <xm:f>0</xm:f>
              </x14:cfvo>
              <x14:cfvo type="num">
                <xm:f>1</xm:f>
              </x14:cfvo>
              <x14:negativeFillColor rgb="FF548235"/>
            </x14:dataBar>
          </x14:cfRule>
          <xm:sqref>F17</xm:sqref>
        </x14:conditionalFormatting>
        <x14:conditionalFormatting xmlns:xm="http://schemas.microsoft.com/office/excel/2006/main">
          <x14:cfRule type="dataBar" id="{B3694978-D326-4C39-B543-8F2FF8823BA4}">
            <x14:dataBar axisPosition="none">
              <x14:cfvo type="num">
                <xm:f>0</xm:f>
              </x14:cfvo>
              <x14:cfvo type="num">
                <xm:f>1</xm:f>
              </x14:cfvo>
              <x14:negativeFillColor rgb="FF7030A0"/>
            </x14:dataBar>
          </x14:cfRule>
          <xm:sqref>F18</xm:sqref>
        </x14:conditionalFormatting>
        <x14:conditionalFormatting xmlns:xm="http://schemas.microsoft.com/office/excel/2006/main">
          <x14:cfRule type="dataBar" id="{B152D567-5CA0-44E6-9FA0-29271497B7D0}">
            <x14:dataBar axisPosition="none">
              <x14:cfvo type="num">
                <xm:f>0</xm:f>
              </x14:cfvo>
              <x14:cfvo type="num">
                <xm:f>1</xm:f>
              </x14:cfvo>
              <x14:negativeFillColor rgb="FF548235"/>
            </x14:dataBar>
          </x14:cfRule>
          <xm:sqref>F19</xm:sqref>
        </x14:conditionalFormatting>
        <x14:conditionalFormatting xmlns:xm="http://schemas.microsoft.com/office/excel/2006/main">
          <x14:cfRule type="dataBar" id="{6E1C2B9A-1F44-4C7B-9A51-3D2B7A4C9E01}">
            <x14:dataBar axisPosition="none">
              <x14:cfvo type="num">
                <xm:f>0</xm:f>
              </x14:cfvo>
              <x14:cfvo type="num">
                <xm:f>1</xm:f>
              </x14:cfvo>
              <x14:negativeFillColor rgb="FF2E75B6"/>
            </x14:dataBar>
          </x14:cfRule>
          <xm:sqref>F31</xm:sqref>
        </x14:conditionalFormatting>
        <x14:conditionalFormatting xmlns:xm="http://schemas.microsoft.com/office/excel/2006/main">
          <x14:cfRule type="dataBar" id="{6E1C2B9A-1F44-4C7B-9A51-3D2B7A4C9E02}">
            <x14:dataBar axisPosition="none">
              <x14:cfvo type="num">
                <xm:f>0</xm:f>
              </x14:cfvo>
              <x14:cfvo type="num">
                <xm:f>1</xm:f>
              </x14:cfvo>
              <x14:negativeFillColor rgb="FF548235"/>
            </x14:dataBar>
          </x14:cfRule>
          <xm:sqref>F32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410D9-9FD5-BD44-95FF-A5B0A2C4257B}">
  <sheetPr>
    <tabColor rgb="FFC00000"/>
  </sheetPr>
  <dimension ref="B2:H166"/>
  <sheetViews>
    <sheetView showGridLines="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B6" sqref="B6"/>
    </sheetView>
  </sheetViews>
  <sheetFormatPr baseColWidth="10" defaultRowHeight="14" x14ac:dyDescent="0.15"/>
  <cols>
    <col min="1" max="1" width="3.83203125" style="70" customWidth="1"/>
    <col min="2" max="2" width="18.83203125" style="70" customWidth="1"/>
    <col min="3" max="3" width="5.83203125" style="70" customWidth="1"/>
    <col min="4" max="4" width="70.83203125" style="70" customWidth="1"/>
    <col min="5" max="5" width="8.83203125" style="70" customWidth="1"/>
    <col min="6" max="6" width="16.83203125" style="70" customWidth="1"/>
    <col min="7" max="7" width="28.83203125" style="70" customWidth="1"/>
    <col min="8" max="8" width="18.83203125" style="70" customWidth="1"/>
    <col min="9" max="16384" width="10.83203125" style="70"/>
  </cols>
  <sheetData>
    <row r="2" spans="2:8" ht="30" customHeight="1" x14ac:dyDescent="0.15">
      <c r="B2" s="89" t="s">
        <v>1258</v>
      </c>
      <c r="C2" s="89"/>
      <c r="D2" s="89"/>
      <c r="E2" s="89"/>
      <c r="F2" s="89"/>
      <c r="G2" s="89"/>
      <c r="H2" s="89"/>
    </row>
    <row r="3" spans="2:8" ht="20" customHeight="1" x14ac:dyDescent="0.15">
      <c r="B3" s="90" t="s">
        <v>1259</v>
      </c>
      <c r="C3" s="90"/>
      <c r="D3" s="90"/>
      <c r="E3" s="90"/>
      <c r="F3" s="90"/>
      <c r="G3" s="90"/>
      <c r="H3" s="90"/>
    </row>
    <row r="4" spans="2:8" ht="22" customHeight="1" x14ac:dyDescent="0.15">
      <c r="B4" s="91" t="s">
        <v>1308</v>
      </c>
      <c r="C4" s="91"/>
      <c r="D4" s="91"/>
      <c r="E4" s="91"/>
      <c r="F4" s="91"/>
      <c r="G4" s="91"/>
      <c r="H4" s="91"/>
    </row>
    <row r="5" spans="2:8" ht="26" customHeight="1" x14ac:dyDescent="0.15">
      <c r="B5" s="71" t="s">
        <v>260</v>
      </c>
      <c r="C5" s="71" t="s">
        <v>64</v>
      </c>
      <c r="D5" s="71" t="s">
        <v>52</v>
      </c>
      <c r="E5" s="71" t="s">
        <v>337</v>
      </c>
      <c r="F5" s="71" t="s">
        <v>41</v>
      </c>
      <c r="G5" s="71" t="s">
        <v>1260</v>
      </c>
      <c r="H5" s="71" t="s">
        <v>339</v>
      </c>
    </row>
    <row r="6" spans="2:8" ht="26" x14ac:dyDescent="0.15">
      <c r="B6" s="72" t="s">
        <v>1261</v>
      </c>
      <c r="C6" s="73">
        <v>1</v>
      </c>
      <c r="D6" s="72" t="s">
        <v>71</v>
      </c>
      <c r="E6" s="73">
        <v>5</v>
      </c>
      <c r="F6" s="74" t="s">
        <v>21</v>
      </c>
      <c r="G6" s="72" t="s">
        <v>309</v>
      </c>
      <c r="H6" s="73" t="s">
        <v>1262</v>
      </c>
    </row>
    <row r="7" spans="2:8" ht="26" x14ac:dyDescent="0.15">
      <c r="B7" s="72" t="s">
        <v>1261</v>
      </c>
      <c r="C7" s="73">
        <v>2</v>
      </c>
      <c r="D7" s="72" t="s">
        <v>73</v>
      </c>
      <c r="E7" s="73">
        <v>5</v>
      </c>
      <c r="F7" s="74" t="s">
        <v>21</v>
      </c>
      <c r="G7" s="72" t="s">
        <v>309</v>
      </c>
      <c r="H7" s="73" t="s">
        <v>1263</v>
      </c>
    </row>
    <row r="8" spans="2:8" ht="26" x14ac:dyDescent="0.15">
      <c r="B8" s="72" t="s">
        <v>1261</v>
      </c>
      <c r="C8" s="73">
        <v>3</v>
      </c>
      <c r="D8" s="72" t="s">
        <v>74</v>
      </c>
      <c r="E8" s="73">
        <v>5</v>
      </c>
      <c r="F8" s="74" t="s">
        <v>21</v>
      </c>
      <c r="G8" s="72" t="s">
        <v>309</v>
      </c>
      <c r="H8" s="73" t="s">
        <v>1263</v>
      </c>
    </row>
    <row r="9" spans="2:8" ht="26" x14ac:dyDescent="0.15">
      <c r="B9" s="72" t="s">
        <v>1261</v>
      </c>
      <c r="C9" s="73">
        <v>4</v>
      </c>
      <c r="D9" s="72" t="s">
        <v>75</v>
      </c>
      <c r="E9" s="73">
        <v>5</v>
      </c>
      <c r="F9" s="74" t="s">
        <v>21</v>
      </c>
      <c r="G9" s="72" t="s">
        <v>309</v>
      </c>
      <c r="H9" s="73" t="s">
        <v>1263</v>
      </c>
    </row>
    <row r="10" spans="2:8" ht="26" x14ac:dyDescent="0.15">
      <c r="B10" s="72" t="s">
        <v>1261</v>
      </c>
      <c r="C10" s="73">
        <v>5</v>
      </c>
      <c r="D10" s="72" t="s">
        <v>300</v>
      </c>
      <c r="E10" s="73">
        <v>5</v>
      </c>
      <c r="F10" s="74" t="s">
        <v>21</v>
      </c>
      <c r="G10" s="72" t="s">
        <v>309</v>
      </c>
      <c r="H10" s="73" t="s">
        <v>1263</v>
      </c>
    </row>
    <row r="11" spans="2:8" ht="26" x14ac:dyDescent="0.15">
      <c r="B11" s="72" t="s">
        <v>1261</v>
      </c>
      <c r="C11" s="73">
        <v>6</v>
      </c>
      <c r="D11" s="72" t="s">
        <v>76</v>
      </c>
      <c r="E11" s="73">
        <v>5</v>
      </c>
      <c r="F11" s="74" t="s">
        <v>21</v>
      </c>
      <c r="G11" s="72" t="s">
        <v>309</v>
      </c>
      <c r="H11" s="73" t="s">
        <v>1264</v>
      </c>
    </row>
    <row r="12" spans="2:8" ht="39" x14ac:dyDescent="0.15">
      <c r="B12" s="72" t="s">
        <v>1261</v>
      </c>
      <c r="C12" s="73">
        <v>7</v>
      </c>
      <c r="D12" s="72" t="s">
        <v>77</v>
      </c>
      <c r="E12" s="73">
        <v>5</v>
      </c>
      <c r="F12" s="74" t="s">
        <v>21</v>
      </c>
      <c r="G12" s="72" t="s">
        <v>309</v>
      </c>
      <c r="H12" s="73" t="s">
        <v>1265</v>
      </c>
    </row>
    <row r="13" spans="2:8" ht="26" x14ac:dyDescent="0.15">
      <c r="B13" s="72" t="s">
        <v>1261</v>
      </c>
      <c r="C13" s="73">
        <v>8</v>
      </c>
      <c r="D13" s="72" t="s">
        <v>79</v>
      </c>
      <c r="E13" s="73">
        <v>5</v>
      </c>
      <c r="F13" s="74" t="s">
        <v>21</v>
      </c>
      <c r="G13" s="72" t="s">
        <v>309</v>
      </c>
      <c r="H13" s="73" t="s">
        <v>1265</v>
      </c>
    </row>
    <row r="14" spans="2:8" ht="39" x14ac:dyDescent="0.15">
      <c r="B14" s="72" t="s">
        <v>1261</v>
      </c>
      <c r="C14" s="73">
        <v>9</v>
      </c>
      <c r="D14" s="72" t="s">
        <v>301</v>
      </c>
      <c r="E14" s="73">
        <v>5</v>
      </c>
      <c r="F14" s="74" t="s">
        <v>21</v>
      </c>
      <c r="G14" s="72" t="s">
        <v>309</v>
      </c>
      <c r="H14" s="73" t="s">
        <v>1266</v>
      </c>
    </row>
    <row r="15" spans="2:8" ht="26" x14ac:dyDescent="0.15">
      <c r="B15" s="72" t="s">
        <v>1261</v>
      </c>
      <c r="C15" s="73">
        <v>10</v>
      </c>
      <c r="D15" s="72" t="s">
        <v>80</v>
      </c>
      <c r="E15" s="73">
        <v>4</v>
      </c>
      <c r="F15" s="74" t="s">
        <v>21</v>
      </c>
      <c r="G15" s="72" t="s">
        <v>309</v>
      </c>
      <c r="H15" s="73" t="s">
        <v>1267</v>
      </c>
    </row>
    <row r="16" spans="2:8" ht="26" x14ac:dyDescent="0.15">
      <c r="B16" s="72" t="s">
        <v>1261</v>
      </c>
      <c r="C16" s="73">
        <v>11</v>
      </c>
      <c r="D16" s="72" t="s">
        <v>82</v>
      </c>
      <c r="E16" s="73">
        <v>3</v>
      </c>
      <c r="F16" s="74" t="s">
        <v>21</v>
      </c>
      <c r="G16" s="72" t="s">
        <v>309</v>
      </c>
      <c r="H16" s="73" t="s">
        <v>1268</v>
      </c>
    </row>
    <row r="17" spans="2:8" ht="26" x14ac:dyDescent="0.15">
      <c r="B17" s="72" t="s">
        <v>1261</v>
      </c>
      <c r="C17" s="73">
        <v>12</v>
      </c>
      <c r="D17" s="72" t="s">
        <v>307</v>
      </c>
      <c r="E17" s="73">
        <v>5</v>
      </c>
      <c r="F17" s="74" t="s">
        <v>21</v>
      </c>
      <c r="G17" s="72" t="s">
        <v>303</v>
      </c>
      <c r="H17" s="73" t="s">
        <v>1263</v>
      </c>
    </row>
    <row r="18" spans="2:8" ht="26" x14ac:dyDescent="0.15">
      <c r="B18" s="72" t="s">
        <v>1261</v>
      </c>
      <c r="C18" s="73">
        <v>13</v>
      </c>
      <c r="D18" s="72" t="s">
        <v>85</v>
      </c>
      <c r="E18" s="73">
        <v>5</v>
      </c>
      <c r="F18" s="74" t="s">
        <v>21</v>
      </c>
      <c r="G18" s="72" t="s">
        <v>303</v>
      </c>
      <c r="H18" s="73" t="s">
        <v>1269</v>
      </c>
    </row>
    <row r="19" spans="2:8" ht="26" x14ac:dyDescent="0.15">
      <c r="B19" s="72" t="s">
        <v>1261</v>
      </c>
      <c r="C19" s="73">
        <v>14</v>
      </c>
      <c r="D19" s="72" t="s">
        <v>86</v>
      </c>
      <c r="E19" s="73">
        <v>5</v>
      </c>
      <c r="F19" s="74" t="s">
        <v>21</v>
      </c>
      <c r="G19" s="72" t="s">
        <v>303</v>
      </c>
      <c r="H19" s="73" t="s">
        <v>1263</v>
      </c>
    </row>
    <row r="20" spans="2:8" ht="26" x14ac:dyDescent="0.15">
      <c r="B20" s="72" t="s">
        <v>1261</v>
      </c>
      <c r="C20" s="73">
        <v>15</v>
      </c>
      <c r="D20" s="72" t="s">
        <v>87</v>
      </c>
      <c r="E20" s="73">
        <v>5</v>
      </c>
      <c r="F20" s="74" t="s">
        <v>21</v>
      </c>
      <c r="G20" s="72" t="s">
        <v>303</v>
      </c>
      <c r="H20" s="73" t="s">
        <v>1263</v>
      </c>
    </row>
    <row r="21" spans="2:8" ht="26" x14ac:dyDescent="0.15">
      <c r="B21" s="72" t="s">
        <v>1261</v>
      </c>
      <c r="C21" s="73">
        <v>16</v>
      </c>
      <c r="D21" s="72" t="s">
        <v>88</v>
      </c>
      <c r="E21" s="73">
        <v>5</v>
      </c>
      <c r="F21" s="74" t="s">
        <v>21</v>
      </c>
      <c r="G21" s="72" t="s">
        <v>303</v>
      </c>
      <c r="H21" s="73" t="s">
        <v>1263</v>
      </c>
    </row>
    <row r="22" spans="2:8" ht="26" x14ac:dyDescent="0.15">
      <c r="B22" s="72" t="s">
        <v>1261</v>
      </c>
      <c r="C22" s="73">
        <v>17</v>
      </c>
      <c r="D22" s="72" t="s">
        <v>89</v>
      </c>
      <c r="E22" s="73">
        <v>4</v>
      </c>
      <c r="F22" s="74" t="s">
        <v>21</v>
      </c>
      <c r="G22" s="72" t="s">
        <v>303</v>
      </c>
      <c r="H22" s="73" t="s">
        <v>1263</v>
      </c>
    </row>
    <row r="23" spans="2:8" ht="26" x14ac:dyDescent="0.15">
      <c r="B23" s="72" t="s">
        <v>1261</v>
      </c>
      <c r="C23" s="73">
        <v>18</v>
      </c>
      <c r="D23" s="72" t="s">
        <v>90</v>
      </c>
      <c r="E23" s="73">
        <v>4</v>
      </c>
      <c r="F23" s="74" t="s">
        <v>21</v>
      </c>
      <c r="G23" s="72" t="s">
        <v>303</v>
      </c>
      <c r="H23" s="73" t="s">
        <v>1263</v>
      </c>
    </row>
    <row r="24" spans="2:8" ht="26" x14ac:dyDescent="0.15">
      <c r="B24" s="72" t="s">
        <v>1261</v>
      </c>
      <c r="C24" s="73">
        <v>19</v>
      </c>
      <c r="D24" s="72" t="s">
        <v>91</v>
      </c>
      <c r="E24" s="73">
        <v>5</v>
      </c>
      <c r="F24" s="74" t="s">
        <v>21</v>
      </c>
      <c r="G24" s="72" t="s">
        <v>303</v>
      </c>
      <c r="H24" s="73" t="s">
        <v>1264</v>
      </c>
    </row>
    <row r="25" spans="2:8" ht="26" x14ac:dyDescent="0.15">
      <c r="B25" s="72" t="s">
        <v>1261</v>
      </c>
      <c r="C25" s="73">
        <v>20</v>
      </c>
      <c r="D25" s="72" t="s">
        <v>92</v>
      </c>
      <c r="E25" s="73">
        <v>5</v>
      </c>
      <c r="F25" s="74" t="s">
        <v>21</v>
      </c>
      <c r="G25" s="72" t="s">
        <v>303</v>
      </c>
      <c r="H25" s="73" t="s">
        <v>1264</v>
      </c>
    </row>
    <row r="26" spans="2:8" ht="26" x14ac:dyDescent="0.15">
      <c r="B26" s="72" t="s">
        <v>1261</v>
      </c>
      <c r="C26" s="73">
        <v>21</v>
      </c>
      <c r="D26" s="72" t="s">
        <v>93</v>
      </c>
      <c r="E26" s="73">
        <v>3</v>
      </c>
      <c r="F26" s="74" t="s">
        <v>21</v>
      </c>
      <c r="G26" s="72" t="s">
        <v>303</v>
      </c>
      <c r="H26" s="73" t="s">
        <v>1268</v>
      </c>
    </row>
    <row r="27" spans="2:8" ht="26" x14ac:dyDescent="0.15">
      <c r="B27" s="72" t="s">
        <v>1261</v>
      </c>
      <c r="C27" s="73">
        <v>22</v>
      </c>
      <c r="D27" s="72" t="s">
        <v>94</v>
      </c>
      <c r="E27" s="73">
        <v>5</v>
      </c>
      <c r="F27" s="74" t="s">
        <v>21</v>
      </c>
      <c r="G27" s="72" t="s">
        <v>303</v>
      </c>
      <c r="H27" s="73" t="s">
        <v>1270</v>
      </c>
    </row>
    <row r="28" spans="2:8" ht="26" x14ac:dyDescent="0.15">
      <c r="B28" s="72" t="s">
        <v>1261</v>
      </c>
      <c r="C28" s="73">
        <v>23</v>
      </c>
      <c r="D28" s="72" t="s">
        <v>95</v>
      </c>
      <c r="E28" s="73">
        <v>5</v>
      </c>
      <c r="F28" s="74" t="s">
        <v>21</v>
      </c>
      <c r="G28" s="72" t="s">
        <v>303</v>
      </c>
      <c r="H28" s="73" t="s">
        <v>1264</v>
      </c>
    </row>
    <row r="29" spans="2:8" ht="26" x14ac:dyDescent="0.15">
      <c r="B29" s="72" t="s">
        <v>1261</v>
      </c>
      <c r="C29" s="73">
        <v>24</v>
      </c>
      <c r="D29" s="72" t="s">
        <v>96</v>
      </c>
      <c r="E29" s="73">
        <v>4</v>
      </c>
      <c r="F29" s="74" t="s">
        <v>21</v>
      </c>
      <c r="G29" s="72" t="s">
        <v>303</v>
      </c>
      <c r="H29" s="73" t="s">
        <v>1271</v>
      </c>
    </row>
    <row r="30" spans="2:8" ht="26" x14ac:dyDescent="0.15">
      <c r="B30" s="72" t="s">
        <v>1261</v>
      </c>
      <c r="C30" s="73">
        <v>25</v>
      </c>
      <c r="D30" s="72" t="s">
        <v>98</v>
      </c>
      <c r="E30" s="73">
        <v>5</v>
      </c>
      <c r="F30" s="74" t="s">
        <v>21</v>
      </c>
      <c r="G30" s="72" t="s">
        <v>309</v>
      </c>
      <c r="H30" s="73" t="s">
        <v>1263</v>
      </c>
    </row>
    <row r="31" spans="2:8" ht="26" x14ac:dyDescent="0.15">
      <c r="B31" s="72" t="s">
        <v>1261</v>
      </c>
      <c r="C31" s="73">
        <v>26</v>
      </c>
      <c r="D31" s="72" t="s">
        <v>99</v>
      </c>
      <c r="E31" s="73">
        <v>5</v>
      </c>
      <c r="F31" s="74" t="s">
        <v>21</v>
      </c>
      <c r="G31" s="72" t="s">
        <v>309</v>
      </c>
      <c r="H31" s="73" t="s">
        <v>1265</v>
      </c>
    </row>
    <row r="32" spans="2:8" ht="26" x14ac:dyDescent="0.15">
      <c r="B32" s="72" t="s">
        <v>1261</v>
      </c>
      <c r="C32" s="73">
        <v>27</v>
      </c>
      <c r="D32" s="72" t="s">
        <v>100</v>
      </c>
      <c r="E32" s="73">
        <v>5</v>
      </c>
      <c r="F32" s="74" t="s">
        <v>21</v>
      </c>
      <c r="G32" s="72" t="s">
        <v>309</v>
      </c>
      <c r="H32" s="73" t="s">
        <v>1272</v>
      </c>
    </row>
    <row r="33" spans="2:8" ht="26" x14ac:dyDescent="0.15">
      <c r="B33" s="72" t="s">
        <v>1261</v>
      </c>
      <c r="C33" s="73">
        <v>28</v>
      </c>
      <c r="D33" s="72" t="s">
        <v>101</v>
      </c>
      <c r="E33" s="73">
        <v>5</v>
      </c>
      <c r="F33" s="74" t="s">
        <v>21</v>
      </c>
      <c r="G33" s="72" t="s">
        <v>309</v>
      </c>
      <c r="H33" s="73" t="s">
        <v>1273</v>
      </c>
    </row>
    <row r="34" spans="2:8" ht="26" x14ac:dyDescent="0.15">
      <c r="B34" s="72" t="s">
        <v>1261</v>
      </c>
      <c r="C34" s="73">
        <v>29</v>
      </c>
      <c r="D34" s="72" t="s">
        <v>102</v>
      </c>
      <c r="E34" s="73">
        <v>4</v>
      </c>
      <c r="F34" s="74" t="s">
        <v>21</v>
      </c>
      <c r="G34" s="72" t="s">
        <v>309</v>
      </c>
      <c r="H34" s="73" t="s">
        <v>1272</v>
      </c>
    </row>
    <row r="35" spans="2:8" ht="26" x14ac:dyDescent="0.15">
      <c r="B35" s="72" t="s">
        <v>1261</v>
      </c>
      <c r="C35" s="73">
        <v>30</v>
      </c>
      <c r="D35" s="72" t="s">
        <v>103</v>
      </c>
      <c r="E35" s="73">
        <v>4</v>
      </c>
      <c r="F35" s="74" t="s">
        <v>21</v>
      </c>
      <c r="G35" s="72" t="s">
        <v>309</v>
      </c>
      <c r="H35" s="73" t="s">
        <v>1267</v>
      </c>
    </row>
    <row r="36" spans="2:8" ht="26" x14ac:dyDescent="0.15">
      <c r="B36" s="72" t="s">
        <v>1261</v>
      </c>
      <c r="C36" s="73">
        <v>31</v>
      </c>
      <c r="D36" s="72" t="s">
        <v>104</v>
      </c>
      <c r="E36" s="73">
        <v>5</v>
      </c>
      <c r="F36" s="74" t="s">
        <v>21</v>
      </c>
      <c r="G36" s="72" t="s">
        <v>309</v>
      </c>
      <c r="H36" s="73" t="s">
        <v>1263</v>
      </c>
    </row>
    <row r="37" spans="2:8" ht="26" x14ac:dyDescent="0.15">
      <c r="B37" s="72" t="s">
        <v>1261</v>
      </c>
      <c r="C37" s="73">
        <v>32</v>
      </c>
      <c r="D37" s="72" t="s">
        <v>105</v>
      </c>
      <c r="E37" s="73">
        <v>3</v>
      </c>
      <c r="F37" s="74" t="s">
        <v>21</v>
      </c>
      <c r="G37" s="72" t="s">
        <v>309</v>
      </c>
      <c r="H37" s="73" t="s">
        <v>1268</v>
      </c>
    </row>
    <row r="38" spans="2:8" ht="39" x14ac:dyDescent="0.15">
      <c r="B38" s="72" t="s">
        <v>1261</v>
      </c>
      <c r="C38" s="73">
        <v>33</v>
      </c>
      <c r="D38" s="72" t="s">
        <v>304</v>
      </c>
      <c r="E38" s="73">
        <v>5</v>
      </c>
      <c r="F38" s="74" t="s">
        <v>21</v>
      </c>
      <c r="G38" s="72" t="s">
        <v>303</v>
      </c>
      <c r="H38" s="73" t="s">
        <v>1274</v>
      </c>
    </row>
    <row r="39" spans="2:8" ht="26" x14ac:dyDescent="0.15">
      <c r="B39" s="72" t="s">
        <v>1261</v>
      </c>
      <c r="C39" s="73">
        <v>34</v>
      </c>
      <c r="D39" s="72" t="s">
        <v>565</v>
      </c>
      <c r="E39" s="73">
        <v>5</v>
      </c>
      <c r="F39" s="74" t="s">
        <v>21</v>
      </c>
      <c r="G39" s="72" t="s">
        <v>303</v>
      </c>
      <c r="H39" s="73" t="s">
        <v>1265</v>
      </c>
    </row>
    <row r="40" spans="2:8" ht="26" x14ac:dyDescent="0.15">
      <c r="B40" s="72" t="s">
        <v>1261</v>
      </c>
      <c r="C40" s="73">
        <v>35</v>
      </c>
      <c r="D40" s="72" t="s">
        <v>566</v>
      </c>
      <c r="E40" s="73">
        <v>5</v>
      </c>
      <c r="F40" s="74" t="s">
        <v>21</v>
      </c>
      <c r="G40" s="72" t="s">
        <v>303</v>
      </c>
      <c r="H40" s="73" t="s">
        <v>1265</v>
      </c>
    </row>
    <row r="41" spans="2:8" ht="26" x14ac:dyDescent="0.15">
      <c r="B41" s="72" t="s">
        <v>1261</v>
      </c>
      <c r="C41" s="73">
        <v>36</v>
      </c>
      <c r="D41" s="72" t="s">
        <v>107</v>
      </c>
      <c r="E41" s="73">
        <v>5</v>
      </c>
      <c r="F41" s="74" t="s">
        <v>21</v>
      </c>
      <c r="G41" s="72" t="s">
        <v>303</v>
      </c>
      <c r="H41" s="73" t="s">
        <v>1265</v>
      </c>
    </row>
    <row r="42" spans="2:8" ht="26" x14ac:dyDescent="0.15">
      <c r="B42" s="72" t="s">
        <v>1261</v>
      </c>
      <c r="C42" s="73">
        <v>37</v>
      </c>
      <c r="D42" s="72" t="s">
        <v>108</v>
      </c>
      <c r="E42" s="73">
        <v>5</v>
      </c>
      <c r="F42" s="74" t="s">
        <v>21</v>
      </c>
      <c r="G42" s="72" t="s">
        <v>303</v>
      </c>
      <c r="H42" s="73" t="s">
        <v>1264</v>
      </c>
    </row>
    <row r="43" spans="2:8" ht="26" x14ac:dyDescent="0.15">
      <c r="B43" s="72" t="s">
        <v>1261</v>
      </c>
      <c r="C43" s="73">
        <v>38</v>
      </c>
      <c r="D43" s="72" t="s">
        <v>109</v>
      </c>
      <c r="E43" s="73">
        <v>5</v>
      </c>
      <c r="F43" s="74" t="s">
        <v>21</v>
      </c>
      <c r="G43" s="72" t="s">
        <v>303</v>
      </c>
      <c r="H43" s="73" t="s">
        <v>1264</v>
      </c>
    </row>
    <row r="44" spans="2:8" ht="26" x14ac:dyDescent="0.15">
      <c r="B44" s="72" t="s">
        <v>1261</v>
      </c>
      <c r="C44" s="73">
        <v>39</v>
      </c>
      <c r="D44" s="72" t="s">
        <v>110</v>
      </c>
      <c r="E44" s="73">
        <v>4</v>
      </c>
      <c r="F44" s="74" t="s">
        <v>21</v>
      </c>
      <c r="G44" s="72" t="s">
        <v>303</v>
      </c>
      <c r="H44" s="73" t="s">
        <v>1271</v>
      </c>
    </row>
    <row r="45" spans="2:8" ht="26" x14ac:dyDescent="0.15">
      <c r="B45" s="72" t="s">
        <v>1261</v>
      </c>
      <c r="C45" s="73">
        <v>40</v>
      </c>
      <c r="D45" s="72" t="s">
        <v>111</v>
      </c>
      <c r="E45" s="73">
        <v>3</v>
      </c>
      <c r="F45" s="74" t="s">
        <v>21</v>
      </c>
      <c r="G45" s="72" t="s">
        <v>303</v>
      </c>
      <c r="H45" s="73" t="s">
        <v>1275</v>
      </c>
    </row>
    <row r="46" spans="2:8" ht="26" x14ac:dyDescent="0.15">
      <c r="B46" s="72" t="s">
        <v>1261</v>
      </c>
      <c r="C46" s="73">
        <v>41</v>
      </c>
      <c r="D46" s="72" t="s">
        <v>310</v>
      </c>
      <c r="E46" s="73">
        <v>5</v>
      </c>
      <c r="F46" s="74" t="s">
        <v>21</v>
      </c>
      <c r="G46" s="72" t="s">
        <v>303</v>
      </c>
      <c r="H46" s="73" t="s">
        <v>1276</v>
      </c>
    </row>
    <row r="47" spans="2:8" ht="26" x14ac:dyDescent="0.15">
      <c r="B47" s="72" t="s">
        <v>1261</v>
      </c>
      <c r="C47" s="73">
        <v>42</v>
      </c>
      <c r="D47" s="72" t="s">
        <v>311</v>
      </c>
      <c r="E47" s="73">
        <v>5</v>
      </c>
      <c r="F47" s="74" t="s">
        <v>21</v>
      </c>
      <c r="G47" s="72" t="s">
        <v>303</v>
      </c>
      <c r="H47" s="73" t="s">
        <v>1276</v>
      </c>
    </row>
    <row r="48" spans="2:8" ht="26" x14ac:dyDescent="0.15">
      <c r="B48" s="72" t="s">
        <v>1261</v>
      </c>
      <c r="C48" s="73">
        <v>43</v>
      </c>
      <c r="D48" s="72" t="s">
        <v>312</v>
      </c>
      <c r="E48" s="73">
        <v>5</v>
      </c>
      <c r="F48" s="74" t="s">
        <v>21</v>
      </c>
      <c r="G48" s="72" t="s">
        <v>302</v>
      </c>
      <c r="H48" s="73" t="s">
        <v>1263</v>
      </c>
    </row>
    <row r="49" spans="2:8" ht="26" x14ac:dyDescent="0.15">
      <c r="B49" s="72" t="s">
        <v>1261</v>
      </c>
      <c r="C49" s="73">
        <v>44</v>
      </c>
      <c r="D49" s="72" t="s">
        <v>313</v>
      </c>
      <c r="E49" s="73">
        <v>5</v>
      </c>
      <c r="F49" s="74" t="s">
        <v>21</v>
      </c>
      <c r="G49" s="72" t="s">
        <v>303</v>
      </c>
      <c r="H49" s="73" t="s">
        <v>1277</v>
      </c>
    </row>
    <row r="50" spans="2:8" ht="26" x14ac:dyDescent="0.15">
      <c r="B50" s="72" t="s">
        <v>1261</v>
      </c>
      <c r="C50" s="73">
        <v>45</v>
      </c>
      <c r="D50" s="72" t="s">
        <v>114</v>
      </c>
      <c r="E50" s="73">
        <v>5</v>
      </c>
      <c r="F50" s="74" t="s">
        <v>21</v>
      </c>
      <c r="G50" s="72" t="s">
        <v>303</v>
      </c>
      <c r="H50" s="73" t="s">
        <v>1273</v>
      </c>
    </row>
    <row r="51" spans="2:8" ht="26" x14ac:dyDescent="0.15">
      <c r="B51" s="72" t="s">
        <v>1261</v>
      </c>
      <c r="C51" s="73">
        <v>46</v>
      </c>
      <c r="D51" s="72" t="s">
        <v>116</v>
      </c>
      <c r="E51" s="73">
        <v>5</v>
      </c>
      <c r="F51" s="74" t="s">
        <v>21</v>
      </c>
      <c r="G51" s="72" t="s">
        <v>303</v>
      </c>
      <c r="H51" s="73" t="s">
        <v>1278</v>
      </c>
    </row>
    <row r="52" spans="2:8" ht="26" x14ac:dyDescent="0.15">
      <c r="B52" s="72" t="s">
        <v>1261</v>
      </c>
      <c r="C52" s="73">
        <v>47</v>
      </c>
      <c r="D52" s="72" t="s">
        <v>117</v>
      </c>
      <c r="E52" s="73">
        <v>5</v>
      </c>
      <c r="F52" s="74" t="s">
        <v>21</v>
      </c>
      <c r="G52" s="72" t="s">
        <v>303</v>
      </c>
      <c r="H52" s="73" t="s">
        <v>1266</v>
      </c>
    </row>
    <row r="53" spans="2:8" ht="26" x14ac:dyDescent="0.15">
      <c r="B53" s="72" t="s">
        <v>1261</v>
      </c>
      <c r="C53" s="73">
        <v>48</v>
      </c>
      <c r="D53" s="72" t="s">
        <v>118</v>
      </c>
      <c r="E53" s="73">
        <v>5</v>
      </c>
      <c r="F53" s="74" t="s">
        <v>21</v>
      </c>
      <c r="G53" s="72" t="s">
        <v>303</v>
      </c>
      <c r="H53" s="73" t="s">
        <v>1279</v>
      </c>
    </row>
    <row r="54" spans="2:8" ht="26" x14ac:dyDescent="0.15">
      <c r="B54" s="72" t="s">
        <v>1261</v>
      </c>
      <c r="C54" s="73">
        <v>49</v>
      </c>
      <c r="D54" s="72" t="s">
        <v>119</v>
      </c>
      <c r="E54" s="73">
        <v>5</v>
      </c>
      <c r="F54" s="74" t="s">
        <v>21</v>
      </c>
      <c r="G54" s="72" t="s">
        <v>303</v>
      </c>
      <c r="H54" s="73" t="s">
        <v>1280</v>
      </c>
    </row>
    <row r="55" spans="2:8" ht="26" x14ac:dyDescent="0.15">
      <c r="B55" s="72" t="s">
        <v>1261</v>
      </c>
      <c r="C55" s="73">
        <v>50</v>
      </c>
      <c r="D55" s="72" t="s">
        <v>120</v>
      </c>
      <c r="E55" s="73">
        <v>5</v>
      </c>
      <c r="F55" s="74" t="s">
        <v>21</v>
      </c>
      <c r="G55" s="72" t="s">
        <v>303</v>
      </c>
      <c r="H55" s="73" t="s">
        <v>1270</v>
      </c>
    </row>
    <row r="56" spans="2:8" ht="26" x14ac:dyDescent="0.15">
      <c r="B56" s="72" t="s">
        <v>1261</v>
      </c>
      <c r="C56" s="73">
        <v>51</v>
      </c>
      <c r="D56" s="72" t="s">
        <v>121</v>
      </c>
      <c r="E56" s="73">
        <v>3</v>
      </c>
      <c r="F56" s="74" t="s">
        <v>21</v>
      </c>
      <c r="G56" s="72" t="s">
        <v>303</v>
      </c>
      <c r="H56" s="73" t="s">
        <v>1268</v>
      </c>
    </row>
    <row r="57" spans="2:8" ht="26" x14ac:dyDescent="0.15">
      <c r="B57" s="72" t="s">
        <v>1261</v>
      </c>
      <c r="C57" s="73">
        <v>52</v>
      </c>
      <c r="D57" s="72" t="s">
        <v>251</v>
      </c>
      <c r="E57" s="73">
        <v>4</v>
      </c>
      <c r="F57" s="74" t="s">
        <v>21</v>
      </c>
      <c r="G57" s="72" t="s">
        <v>303</v>
      </c>
      <c r="H57" s="73" t="s">
        <v>1281</v>
      </c>
    </row>
    <row r="58" spans="2:8" ht="26" x14ac:dyDescent="0.15">
      <c r="B58" s="72" t="s">
        <v>1261</v>
      </c>
      <c r="C58" s="73">
        <v>53</v>
      </c>
      <c r="D58" s="72" t="s">
        <v>253</v>
      </c>
      <c r="E58" s="73">
        <v>5</v>
      </c>
      <c r="F58" s="74" t="s">
        <v>21</v>
      </c>
      <c r="G58" s="72" t="s">
        <v>303</v>
      </c>
      <c r="H58" s="73" t="s">
        <v>1282</v>
      </c>
    </row>
    <row r="59" spans="2:8" ht="26" x14ac:dyDescent="0.15">
      <c r="B59" s="72" t="s">
        <v>1261</v>
      </c>
      <c r="C59" s="73">
        <v>54</v>
      </c>
      <c r="D59" s="72" t="s">
        <v>254</v>
      </c>
      <c r="E59" s="73">
        <v>5</v>
      </c>
      <c r="F59" s="74" t="s">
        <v>21</v>
      </c>
      <c r="G59" s="72" t="s">
        <v>303</v>
      </c>
      <c r="H59" s="73" t="s">
        <v>1283</v>
      </c>
    </row>
    <row r="60" spans="2:8" ht="26" x14ac:dyDescent="0.15">
      <c r="B60" s="72" t="s">
        <v>1261</v>
      </c>
      <c r="C60" s="73">
        <v>55</v>
      </c>
      <c r="D60" s="72" t="s">
        <v>255</v>
      </c>
      <c r="E60" s="73">
        <v>4</v>
      </c>
      <c r="F60" s="74" t="s">
        <v>21</v>
      </c>
      <c r="G60" s="72" t="s">
        <v>303</v>
      </c>
      <c r="H60" s="73" t="s">
        <v>1284</v>
      </c>
    </row>
    <row r="61" spans="2:8" ht="26" x14ac:dyDescent="0.15">
      <c r="B61" s="72" t="s">
        <v>1220</v>
      </c>
      <c r="C61" s="73">
        <v>1</v>
      </c>
      <c r="D61" s="72" t="s">
        <v>327</v>
      </c>
      <c r="E61" s="73">
        <v>5</v>
      </c>
      <c r="F61" s="74" t="s">
        <v>21</v>
      </c>
      <c r="G61" s="72" t="s">
        <v>309</v>
      </c>
      <c r="H61" s="73" t="s">
        <v>1285</v>
      </c>
    </row>
    <row r="62" spans="2:8" ht="26" x14ac:dyDescent="0.15">
      <c r="B62" s="72" t="s">
        <v>1220</v>
      </c>
      <c r="C62" s="73">
        <v>2</v>
      </c>
      <c r="D62" s="72" t="s">
        <v>126</v>
      </c>
      <c r="E62" s="73">
        <v>5</v>
      </c>
      <c r="F62" s="74" t="s">
        <v>21</v>
      </c>
      <c r="G62" s="72" t="s">
        <v>309</v>
      </c>
      <c r="H62" s="73" t="s">
        <v>1286</v>
      </c>
    </row>
    <row r="63" spans="2:8" ht="26" x14ac:dyDescent="0.15">
      <c r="B63" s="72" t="s">
        <v>1220</v>
      </c>
      <c r="C63" s="73">
        <v>3</v>
      </c>
      <c r="D63" s="72" t="s">
        <v>127</v>
      </c>
      <c r="E63" s="73">
        <v>5</v>
      </c>
      <c r="F63" s="74" t="s">
        <v>21</v>
      </c>
      <c r="G63" s="72" t="s">
        <v>309</v>
      </c>
      <c r="H63" s="73" t="s">
        <v>1287</v>
      </c>
    </row>
    <row r="64" spans="2:8" ht="26" x14ac:dyDescent="0.15">
      <c r="B64" s="72" t="s">
        <v>1220</v>
      </c>
      <c r="C64" s="73">
        <v>4</v>
      </c>
      <c r="D64" s="72" t="s">
        <v>128</v>
      </c>
      <c r="E64" s="73">
        <v>5</v>
      </c>
      <c r="F64" s="74" t="s">
        <v>21</v>
      </c>
      <c r="G64" s="72" t="s">
        <v>309</v>
      </c>
      <c r="H64" s="73" t="s">
        <v>1277</v>
      </c>
    </row>
    <row r="65" spans="2:8" ht="26" x14ac:dyDescent="0.15">
      <c r="B65" s="72" t="s">
        <v>1220</v>
      </c>
      <c r="C65" s="73">
        <v>5</v>
      </c>
      <c r="D65" s="72" t="s">
        <v>129</v>
      </c>
      <c r="E65" s="73">
        <v>5</v>
      </c>
      <c r="F65" s="74" t="s">
        <v>21</v>
      </c>
      <c r="G65" s="72" t="s">
        <v>309</v>
      </c>
      <c r="H65" s="73" t="s">
        <v>1285</v>
      </c>
    </row>
    <row r="66" spans="2:8" ht="26" x14ac:dyDescent="0.15">
      <c r="B66" s="72" t="s">
        <v>1220</v>
      </c>
      <c r="C66" s="73">
        <v>6</v>
      </c>
      <c r="D66" s="72" t="s">
        <v>130</v>
      </c>
      <c r="E66" s="73">
        <v>5</v>
      </c>
      <c r="F66" s="74" t="s">
        <v>21</v>
      </c>
      <c r="G66" s="72" t="s">
        <v>309</v>
      </c>
      <c r="H66" s="73" t="s">
        <v>1285</v>
      </c>
    </row>
    <row r="67" spans="2:8" ht="26" x14ac:dyDescent="0.15">
      <c r="B67" s="72" t="s">
        <v>1220</v>
      </c>
      <c r="C67" s="73">
        <v>7</v>
      </c>
      <c r="D67" s="72" t="s">
        <v>131</v>
      </c>
      <c r="E67" s="73">
        <v>5</v>
      </c>
      <c r="F67" s="74" t="s">
        <v>21</v>
      </c>
      <c r="G67" s="72" t="s">
        <v>309</v>
      </c>
      <c r="H67" s="73" t="s">
        <v>1271</v>
      </c>
    </row>
    <row r="68" spans="2:8" ht="26" x14ac:dyDescent="0.15">
      <c r="B68" s="72" t="s">
        <v>1220</v>
      </c>
      <c r="C68" s="73">
        <v>8</v>
      </c>
      <c r="D68" s="72" t="s">
        <v>330</v>
      </c>
      <c r="E68" s="73">
        <v>5</v>
      </c>
      <c r="F68" s="74" t="s">
        <v>21</v>
      </c>
      <c r="G68" s="72" t="s">
        <v>309</v>
      </c>
      <c r="H68" s="73" t="s">
        <v>1288</v>
      </c>
    </row>
    <row r="69" spans="2:8" ht="26" x14ac:dyDescent="0.15">
      <c r="B69" s="72" t="s">
        <v>1220</v>
      </c>
      <c r="C69" s="73">
        <v>9</v>
      </c>
      <c r="D69" s="72" t="s">
        <v>328</v>
      </c>
      <c r="E69" s="73">
        <v>5</v>
      </c>
      <c r="F69" s="74" t="s">
        <v>21</v>
      </c>
      <c r="G69" s="72" t="s">
        <v>309</v>
      </c>
      <c r="H69" s="73" t="s">
        <v>1283</v>
      </c>
    </row>
    <row r="70" spans="2:8" ht="26" x14ac:dyDescent="0.15">
      <c r="B70" s="72" t="s">
        <v>1220</v>
      </c>
      <c r="C70" s="73">
        <v>10</v>
      </c>
      <c r="D70" s="72" t="s">
        <v>132</v>
      </c>
      <c r="E70" s="73">
        <v>5</v>
      </c>
      <c r="F70" s="74" t="s">
        <v>21</v>
      </c>
      <c r="G70" s="72" t="s">
        <v>309</v>
      </c>
      <c r="H70" s="73" t="s">
        <v>1285</v>
      </c>
    </row>
    <row r="71" spans="2:8" ht="26" x14ac:dyDescent="0.15">
      <c r="B71" s="72" t="s">
        <v>1220</v>
      </c>
      <c r="C71" s="73">
        <v>11</v>
      </c>
      <c r="D71" s="72" t="s">
        <v>133</v>
      </c>
      <c r="E71" s="73">
        <v>5</v>
      </c>
      <c r="F71" s="74" t="s">
        <v>21</v>
      </c>
      <c r="G71" s="72" t="s">
        <v>309</v>
      </c>
      <c r="H71" s="73" t="s">
        <v>1289</v>
      </c>
    </row>
    <row r="72" spans="2:8" ht="26" x14ac:dyDescent="0.15">
      <c r="B72" s="72" t="s">
        <v>1220</v>
      </c>
      <c r="C72" s="73">
        <v>12</v>
      </c>
      <c r="D72" s="72" t="s">
        <v>134</v>
      </c>
      <c r="E72" s="73">
        <v>4</v>
      </c>
      <c r="F72" s="74" t="s">
        <v>21</v>
      </c>
      <c r="G72" s="72" t="s">
        <v>309</v>
      </c>
      <c r="H72" s="73" t="s">
        <v>1287</v>
      </c>
    </row>
    <row r="73" spans="2:8" ht="26" x14ac:dyDescent="0.15">
      <c r="B73" s="72" t="s">
        <v>1220</v>
      </c>
      <c r="C73" s="73">
        <v>13</v>
      </c>
      <c r="D73" s="72" t="s">
        <v>135</v>
      </c>
      <c r="E73" s="73">
        <v>5</v>
      </c>
      <c r="F73" s="74" t="s">
        <v>21</v>
      </c>
      <c r="G73" s="72" t="s">
        <v>309</v>
      </c>
      <c r="H73" s="73" t="s">
        <v>1276</v>
      </c>
    </row>
    <row r="74" spans="2:8" ht="26" x14ac:dyDescent="0.15">
      <c r="B74" s="72" t="s">
        <v>1220</v>
      </c>
      <c r="C74" s="73">
        <v>14</v>
      </c>
      <c r="D74" s="72" t="s">
        <v>136</v>
      </c>
      <c r="E74" s="73">
        <v>5</v>
      </c>
      <c r="F74" s="74" t="s">
        <v>21</v>
      </c>
      <c r="G74" s="72" t="s">
        <v>309</v>
      </c>
      <c r="H74" s="73" t="s">
        <v>1285</v>
      </c>
    </row>
    <row r="75" spans="2:8" ht="26" x14ac:dyDescent="0.15">
      <c r="B75" s="72" t="s">
        <v>1220</v>
      </c>
      <c r="C75" s="73">
        <v>15</v>
      </c>
      <c r="D75" s="72" t="s">
        <v>137</v>
      </c>
      <c r="E75" s="73">
        <v>5</v>
      </c>
      <c r="F75" s="74" t="s">
        <v>21</v>
      </c>
      <c r="G75" s="72" t="s">
        <v>309</v>
      </c>
      <c r="H75" s="73" t="s">
        <v>1285</v>
      </c>
    </row>
    <row r="76" spans="2:8" ht="26" x14ac:dyDescent="0.15">
      <c r="B76" s="72" t="s">
        <v>1220</v>
      </c>
      <c r="C76" s="73">
        <v>16</v>
      </c>
      <c r="D76" s="72" t="s">
        <v>138</v>
      </c>
      <c r="E76" s="73">
        <v>5</v>
      </c>
      <c r="F76" s="74" t="s">
        <v>21</v>
      </c>
      <c r="G76" s="72" t="s">
        <v>309</v>
      </c>
      <c r="H76" s="73" t="s">
        <v>1271</v>
      </c>
    </row>
    <row r="77" spans="2:8" ht="26" x14ac:dyDescent="0.15">
      <c r="B77" s="72" t="s">
        <v>1220</v>
      </c>
      <c r="C77" s="73">
        <v>17</v>
      </c>
      <c r="D77" s="72" t="s">
        <v>139</v>
      </c>
      <c r="E77" s="73">
        <v>5</v>
      </c>
      <c r="F77" s="74" t="s">
        <v>21</v>
      </c>
      <c r="G77" s="72" t="s">
        <v>302</v>
      </c>
      <c r="H77" s="73" t="s">
        <v>1285</v>
      </c>
    </row>
    <row r="78" spans="2:8" ht="26" x14ac:dyDescent="0.15">
      <c r="B78" s="72" t="s">
        <v>1220</v>
      </c>
      <c r="C78" s="73">
        <v>18</v>
      </c>
      <c r="D78" s="72" t="s">
        <v>140</v>
      </c>
      <c r="E78" s="73">
        <v>5</v>
      </c>
      <c r="F78" s="74" t="s">
        <v>21</v>
      </c>
      <c r="G78" s="72" t="s">
        <v>302</v>
      </c>
      <c r="H78" s="73" t="s">
        <v>1276</v>
      </c>
    </row>
    <row r="79" spans="2:8" ht="26" x14ac:dyDescent="0.15">
      <c r="B79" s="72" t="s">
        <v>1220</v>
      </c>
      <c r="C79" s="73">
        <v>19</v>
      </c>
      <c r="D79" s="72" t="s">
        <v>141</v>
      </c>
      <c r="E79" s="73">
        <v>5</v>
      </c>
      <c r="F79" s="74" t="s">
        <v>21</v>
      </c>
      <c r="G79" s="72" t="s">
        <v>302</v>
      </c>
      <c r="H79" s="73" t="s">
        <v>1290</v>
      </c>
    </row>
    <row r="80" spans="2:8" ht="26" x14ac:dyDescent="0.15">
      <c r="B80" s="72" t="s">
        <v>1220</v>
      </c>
      <c r="C80" s="73">
        <v>20</v>
      </c>
      <c r="D80" s="72" t="s">
        <v>329</v>
      </c>
      <c r="E80" s="73">
        <v>4</v>
      </c>
      <c r="F80" s="74" t="s">
        <v>21</v>
      </c>
      <c r="G80" s="72" t="s">
        <v>302</v>
      </c>
      <c r="H80" s="73" t="s">
        <v>1291</v>
      </c>
    </row>
    <row r="81" spans="2:8" ht="26" x14ac:dyDescent="0.15">
      <c r="B81" s="72" t="s">
        <v>1220</v>
      </c>
      <c r="C81" s="73">
        <v>21</v>
      </c>
      <c r="D81" s="72" t="s">
        <v>142</v>
      </c>
      <c r="E81" s="73">
        <v>5</v>
      </c>
      <c r="F81" s="74" t="s">
        <v>21</v>
      </c>
      <c r="G81" s="72" t="s">
        <v>303</v>
      </c>
      <c r="H81" s="73" t="s">
        <v>1285</v>
      </c>
    </row>
    <row r="82" spans="2:8" ht="26" x14ac:dyDescent="0.15">
      <c r="B82" s="72" t="s">
        <v>1220</v>
      </c>
      <c r="C82" s="73">
        <v>22</v>
      </c>
      <c r="D82" s="72" t="s">
        <v>331</v>
      </c>
      <c r="E82" s="73">
        <v>5</v>
      </c>
      <c r="F82" s="74" t="s">
        <v>21</v>
      </c>
      <c r="G82" s="72" t="s">
        <v>303</v>
      </c>
      <c r="H82" s="73" t="s">
        <v>1288</v>
      </c>
    </row>
    <row r="83" spans="2:8" ht="26" x14ac:dyDescent="0.15">
      <c r="B83" s="72" t="s">
        <v>1220</v>
      </c>
      <c r="C83" s="73">
        <v>23</v>
      </c>
      <c r="D83" s="72" t="s">
        <v>332</v>
      </c>
      <c r="E83" s="73">
        <v>5</v>
      </c>
      <c r="F83" s="74" t="s">
        <v>21</v>
      </c>
      <c r="G83" s="72" t="s">
        <v>303</v>
      </c>
      <c r="H83" s="73" t="s">
        <v>1274</v>
      </c>
    </row>
    <row r="84" spans="2:8" ht="26" x14ac:dyDescent="0.15">
      <c r="B84" s="72" t="s">
        <v>1220</v>
      </c>
      <c r="C84" s="73">
        <v>24</v>
      </c>
      <c r="D84" s="72" t="s">
        <v>143</v>
      </c>
      <c r="E84" s="73">
        <v>5</v>
      </c>
      <c r="F84" s="74" t="s">
        <v>21</v>
      </c>
      <c r="G84" s="72" t="s">
        <v>303</v>
      </c>
      <c r="H84" s="73" t="s">
        <v>1292</v>
      </c>
    </row>
    <row r="85" spans="2:8" ht="26" x14ac:dyDescent="0.15">
      <c r="B85" s="72" t="s">
        <v>1220</v>
      </c>
      <c r="C85" s="73">
        <v>25</v>
      </c>
      <c r="D85" s="72" t="s">
        <v>144</v>
      </c>
      <c r="E85" s="73">
        <v>4</v>
      </c>
      <c r="F85" s="74" t="s">
        <v>21</v>
      </c>
      <c r="G85" s="72" t="s">
        <v>303</v>
      </c>
      <c r="H85" s="73" t="s">
        <v>1283</v>
      </c>
    </row>
    <row r="86" spans="2:8" ht="26" x14ac:dyDescent="0.15">
      <c r="B86" s="72" t="s">
        <v>1220</v>
      </c>
      <c r="C86" s="73">
        <v>26</v>
      </c>
      <c r="D86" s="72" t="s">
        <v>145</v>
      </c>
      <c r="E86" s="73">
        <v>5</v>
      </c>
      <c r="F86" s="74" t="s">
        <v>21</v>
      </c>
      <c r="G86" s="72" t="s">
        <v>303</v>
      </c>
      <c r="H86" s="73" t="s">
        <v>1271</v>
      </c>
    </row>
    <row r="87" spans="2:8" ht="26" x14ac:dyDescent="0.15">
      <c r="B87" s="72" t="s">
        <v>1220</v>
      </c>
      <c r="C87" s="73">
        <v>27</v>
      </c>
      <c r="D87" s="72" t="s">
        <v>146</v>
      </c>
      <c r="E87" s="73">
        <v>5</v>
      </c>
      <c r="F87" s="74" t="s">
        <v>21</v>
      </c>
      <c r="G87" s="72" t="s">
        <v>303</v>
      </c>
      <c r="H87" s="73" t="s">
        <v>1285</v>
      </c>
    </row>
    <row r="88" spans="2:8" ht="26" x14ac:dyDescent="0.15">
      <c r="B88" s="72" t="s">
        <v>1220</v>
      </c>
      <c r="C88" s="73">
        <v>28</v>
      </c>
      <c r="D88" s="72" t="s">
        <v>147</v>
      </c>
      <c r="E88" s="73">
        <v>5</v>
      </c>
      <c r="F88" s="74" t="s">
        <v>21</v>
      </c>
      <c r="G88" s="72" t="s">
        <v>303</v>
      </c>
      <c r="H88" s="73" t="s">
        <v>1285</v>
      </c>
    </row>
    <row r="89" spans="2:8" ht="26" x14ac:dyDescent="0.15">
      <c r="B89" s="72" t="s">
        <v>1220</v>
      </c>
      <c r="C89" s="73">
        <v>29</v>
      </c>
      <c r="D89" s="72" t="s">
        <v>148</v>
      </c>
      <c r="E89" s="73">
        <v>5</v>
      </c>
      <c r="F89" s="74" t="s">
        <v>21</v>
      </c>
      <c r="G89" s="72" t="s">
        <v>303</v>
      </c>
      <c r="H89" s="73" t="s">
        <v>1283</v>
      </c>
    </row>
    <row r="90" spans="2:8" ht="26" x14ac:dyDescent="0.15">
      <c r="B90" s="72" t="s">
        <v>1220</v>
      </c>
      <c r="C90" s="73">
        <v>30</v>
      </c>
      <c r="D90" s="72" t="s">
        <v>333</v>
      </c>
      <c r="E90" s="73">
        <v>5</v>
      </c>
      <c r="F90" s="74" t="s">
        <v>21</v>
      </c>
      <c r="G90" s="72" t="s">
        <v>303</v>
      </c>
      <c r="H90" s="73" t="s">
        <v>1286</v>
      </c>
    </row>
    <row r="91" spans="2:8" ht="26" x14ac:dyDescent="0.15">
      <c r="B91" s="72" t="s">
        <v>1220</v>
      </c>
      <c r="C91" s="73">
        <v>31</v>
      </c>
      <c r="D91" s="72" t="s">
        <v>149</v>
      </c>
      <c r="E91" s="73">
        <v>5</v>
      </c>
      <c r="F91" s="74" t="s">
        <v>21</v>
      </c>
      <c r="G91" s="72" t="s">
        <v>303</v>
      </c>
      <c r="H91" s="73" t="s">
        <v>1287</v>
      </c>
    </row>
    <row r="92" spans="2:8" ht="26" x14ac:dyDescent="0.15">
      <c r="B92" s="72" t="s">
        <v>1293</v>
      </c>
      <c r="C92" s="73">
        <v>1</v>
      </c>
      <c r="D92" s="72" t="s">
        <v>160</v>
      </c>
      <c r="E92" s="73">
        <v>5</v>
      </c>
      <c r="F92" s="74" t="s">
        <v>21</v>
      </c>
      <c r="G92" s="72" t="s">
        <v>309</v>
      </c>
      <c r="H92" s="73" t="s">
        <v>1294</v>
      </c>
    </row>
    <row r="93" spans="2:8" ht="26" x14ac:dyDescent="0.15">
      <c r="B93" s="72" t="s">
        <v>1293</v>
      </c>
      <c r="C93" s="73">
        <v>2</v>
      </c>
      <c r="D93" s="72" t="s">
        <v>162</v>
      </c>
      <c r="E93" s="73">
        <v>5</v>
      </c>
      <c r="F93" s="74" t="s">
        <v>21</v>
      </c>
      <c r="G93" s="72" t="s">
        <v>309</v>
      </c>
      <c r="H93" s="73" t="s">
        <v>1294</v>
      </c>
    </row>
    <row r="94" spans="2:8" ht="26" x14ac:dyDescent="0.15">
      <c r="B94" s="72" t="s">
        <v>1293</v>
      </c>
      <c r="C94" s="73">
        <v>3</v>
      </c>
      <c r="D94" s="72" t="s">
        <v>163</v>
      </c>
      <c r="E94" s="73">
        <v>5</v>
      </c>
      <c r="F94" s="74" t="s">
        <v>21</v>
      </c>
      <c r="G94" s="72" t="s">
        <v>309</v>
      </c>
      <c r="H94" s="73" t="s">
        <v>1294</v>
      </c>
    </row>
    <row r="95" spans="2:8" ht="26" x14ac:dyDescent="0.15">
      <c r="B95" s="72" t="s">
        <v>1293</v>
      </c>
      <c r="C95" s="73">
        <v>4</v>
      </c>
      <c r="D95" s="72" t="s">
        <v>164</v>
      </c>
      <c r="E95" s="73">
        <v>5</v>
      </c>
      <c r="F95" s="74" t="s">
        <v>21</v>
      </c>
      <c r="G95" s="72" t="s">
        <v>309</v>
      </c>
      <c r="H95" s="73" t="s">
        <v>1294</v>
      </c>
    </row>
    <row r="96" spans="2:8" ht="26" x14ac:dyDescent="0.15">
      <c r="B96" s="72" t="s">
        <v>1293</v>
      </c>
      <c r="C96" s="73">
        <v>5</v>
      </c>
      <c r="D96" s="72" t="s">
        <v>334</v>
      </c>
      <c r="E96" s="73">
        <v>5</v>
      </c>
      <c r="F96" s="74" t="s">
        <v>21</v>
      </c>
      <c r="G96" s="72" t="s">
        <v>309</v>
      </c>
      <c r="H96" s="73" t="s">
        <v>1295</v>
      </c>
    </row>
    <row r="97" spans="2:8" ht="26" x14ac:dyDescent="0.15">
      <c r="B97" s="72" t="s">
        <v>1293</v>
      </c>
      <c r="C97" s="73">
        <v>6</v>
      </c>
      <c r="D97" s="72" t="s">
        <v>165</v>
      </c>
      <c r="E97" s="73">
        <v>4</v>
      </c>
      <c r="F97" s="74" t="s">
        <v>21</v>
      </c>
      <c r="G97" s="72" t="s">
        <v>309</v>
      </c>
      <c r="H97" s="73" t="s">
        <v>1294</v>
      </c>
    </row>
    <row r="98" spans="2:8" ht="26" x14ac:dyDescent="0.15">
      <c r="B98" s="72" t="s">
        <v>1293</v>
      </c>
      <c r="C98" s="73">
        <v>7</v>
      </c>
      <c r="D98" s="72" t="s">
        <v>166</v>
      </c>
      <c r="E98" s="73">
        <v>4</v>
      </c>
      <c r="F98" s="74" t="s">
        <v>21</v>
      </c>
      <c r="G98" s="72" t="s">
        <v>309</v>
      </c>
      <c r="H98" s="73" t="s">
        <v>1294</v>
      </c>
    </row>
    <row r="99" spans="2:8" ht="26" x14ac:dyDescent="0.15">
      <c r="B99" s="72" t="s">
        <v>1293</v>
      </c>
      <c r="C99" s="73">
        <v>8</v>
      </c>
      <c r="D99" s="72" t="s">
        <v>167</v>
      </c>
      <c r="E99" s="73">
        <v>4</v>
      </c>
      <c r="F99" s="74" t="s">
        <v>21</v>
      </c>
      <c r="G99" s="72" t="s">
        <v>309</v>
      </c>
      <c r="H99" s="73" t="s">
        <v>1296</v>
      </c>
    </row>
    <row r="100" spans="2:8" ht="52" x14ac:dyDescent="0.15">
      <c r="B100" s="72" t="s">
        <v>1293</v>
      </c>
      <c r="C100" s="73">
        <v>9</v>
      </c>
      <c r="D100" s="72" t="s">
        <v>168</v>
      </c>
      <c r="E100" s="73" t="s">
        <v>169</v>
      </c>
      <c r="F100" s="74" t="s">
        <v>21</v>
      </c>
      <c r="G100" s="72" t="s">
        <v>309</v>
      </c>
      <c r="H100" s="73" t="s">
        <v>1268</v>
      </c>
    </row>
    <row r="101" spans="2:8" ht="26" x14ac:dyDescent="0.15">
      <c r="B101" s="72" t="s">
        <v>1293</v>
      </c>
      <c r="C101" s="73">
        <v>10</v>
      </c>
      <c r="D101" s="72" t="s">
        <v>170</v>
      </c>
      <c r="E101" s="73">
        <v>4</v>
      </c>
      <c r="F101" s="74" t="s">
        <v>21</v>
      </c>
      <c r="G101" s="72" t="s">
        <v>309</v>
      </c>
      <c r="H101" s="73" t="s">
        <v>1268</v>
      </c>
    </row>
    <row r="102" spans="2:8" ht="26" x14ac:dyDescent="0.15">
      <c r="B102" s="72" t="s">
        <v>1293</v>
      </c>
      <c r="C102" s="73">
        <v>11</v>
      </c>
      <c r="D102" s="72" t="s">
        <v>171</v>
      </c>
      <c r="E102" s="73">
        <v>5</v>
      </c>
      <c r="F102" s="74" t="s">
        <v>21</v>
      </c>
      <c r="G102" s="72" t="s">
        <v>303</v>
      </c>
      <c r="H102" s="73" t="s">
        <v>1294</v>
      </c>
    </row>
    <row r="103" spans="2:8" ht="26" x14ac:dyDescent="0.15">
      <c r="B103" s="72" t="s">
        <v>1293</v>
      </c>
      <c r="C103" s="73">
        <v>12</v>
      </c>
      <c r="D103" s="72" t="s">
        <v>172</v>
      </c>
      <c r="E103" s="73">
        <v>5</v>
      </c>
      <c r="F103" s="74" t="s">
        <v>21</v>
      </c>
      <c r="G103" s="72" t="s">
        <v>303</v>
      </c>
      <c r="H103" s="73" t="s">
        <v>1294</v>
      </c>
    </row>
    <row r="104" spans="2:8" ht="26" x14ac:dyDescent="0.15">
      <c r="B104" s="72" t="s">
        <v>1293</v>
      </c>
      <c r="C104" s="73">
        <v>13</v>
      </c>
      <c r="D104" s="72" t="s">
        <v>173</v>
      </c>
      <c r="E104" s="73">
        <v>5</v>
      </c>
      <c r="F104" s="74" t="s">
        <v>21</v>
      </c>
      <c r="G104" s="72" t="s">
        <v>303</v>
      </c>
      <c r="H104" s="73" t="s">
        <v>1296</v>
      </c>
    </row>
    <row r="105" spans="2:8" ht="26" x14ac:dyDescent="0.15">
      <c r="B105" s="72" t="s">
        <v>1293</v>
      </c>
      <c r="C105" s="73">
        <v>14</v>
      </c>
      <c r="D105" s="72" t="s">
        <v>174</v>
      </c>
      <c r="E105" s="73">
        <v>4</v>
      </c>
      <c r="F105" s="74" t="s">
        <v>21</v>
      </c>
      <c r="G105" s="72" t="s">
        <v>303</v>
      </c>
      <c r="H105" s="73" t="s">
        <v>1294</v>
      </c>
    </row>
    <row r="106" spans="2:8" ht="26" x14ac:dyDescent="0.15">
      <c r="B106" s="72" t="s">
        <v>1293</v>
      </c>
      <c r="C106" s="73">
        <v>15</v>
      </c>
      <c r="D106" s="72" t="s">
        <v>175</v>
      </c>
      <c r="E106" s="73">
        <v>4</v>
      </c>
      <c r="F106" s="74" t="s">
        <v>21</v>
      </c>
      <c r="G106" s="72" t="s">
        <v>303</v>
      </c>
      <c r="H106" s="73" t="s">
        <v>1268</v>
      </c>
    </row>
    <row r="107" spans="2:8" ht="26" x14ac:dyDescent="0.15">
      <c r="B107" s="72" t="s">
        <v>1293</v>
      </c>
      <c r="C107" s="73">
        <v>16</v>
      </c>
      <c r="D107" s="72" t="s">
        <v>177</v>
      </c>
      <c r="E107" s="73">
        <v>5</v>
      </c>
      <c r="F107" s="74" t="s">
        <v>21</v>
      </c>
      <c r="G107" s="72" t="s">
        <v>309</v>
      </c>
      <c r="H107" s="73" t="s">
        <v>1297</v>
      </c>
    </row>
    <row r="108" spans="2:8" ht="26" x14ac:dyDescent="0.15">
      <c r="B108" s="72" t="s">
        <v>1293</v>
      </c>
      <c r="C108" s="73">
        <v>17</v>
      </c>
      <c r="D108" s="72" t="s">
        <v>178</v>
      </c>
      <c r="E108" s="73">
        <v>5</v>
      </c>
      <c r="F108" s="74" t="s">
        <v>21</v>
      </c>
      <c r="G108" s="72" t="s">
        <v>309</v>
      </c>
      <c r="H108" s="73" t="s">
        <v>1298</v>
      </c>
    </row>
    <row r="109" spans="2:8" ht="26" x14ac:dyDescent="0.15">
      <c r="B109" s="72" t="s">
        <v>1293</v>
      </c>
      <c r="C109" s="73">
        <v>18</v>
      </c>
      <c r="D109" s="72" t="s">
        <v>179</v>
      </c>
      <c r="E109" s="73">
        <v>4</v>
      </c>
      <c r="F109" s="74" t="s">
        <v>21</v>
      </c>
      <c r="G109" s="72" t="s">
        <v>309</v>
      </c>
      <c r="H109" s="73" t="s">
        <v>1268</v>
      </c>
    </row>
    <row r="110" spans="2:8" ht="26" x14ac:dyDescent="0.15">
      <c r="B110" s="72" t="s">
        <v>1293</v>
      </c>
      <c r="C110" s="73">
        <v>19</v>
      </c>
      <c r="D110" s="72" t="s">
        <v>180</v>
      </c>
      <c r="E110" s="73">
        <v>4</v>
      </c>
      <c r="F110" s="74" t="s">
        <v>21</v>
      </c>
      <c r="G110" s="72" t="s">
        <v>309</v>
      </c>
      <c r="H110" s="73" t="s">
        <v>1268</v>
      </c>
    </row>
    <row r="111" spans="2:8" ht="26" x14ac:dyDescent="0.15">
      <c r="B111" s="72" t="s">
        <v>1293</v>
      </c>
      <c r="C111" s="73">
        <v>20</v>
      </c>
      <c r="D111" s="72" t="s">
        <v>181</v>
      </c>
      <c r="E111" s="73">
        <v>3</v>
      </c>
      <c r="F111" s="74" t="s">
        <v>21</v>
      </c>
      <c r="G111" s="72" t="s">
        <v>309</v>
      </c>
      <c r="H111" s="73" t="s">
        <v>1294</v>
      </c>
    </row>
    <row r="112" spans="2:8" ht="26" x14ac:dyDescent="0.15">
      <c r="B112" s="72" t="s">
        <v>1293</v>
      </c>
      <c r="C112" s="73">
        <v>21</v>
      </c>
      <c r="D112" s="72" t="s">
        <v>182</v>
      </c>
      <c r="E112" s="73">
        <v>5</v>
      </c>
      <c r="F112" s="74" t="s">
        <v>21</v>
      </c>
      <c r="G112" s="72" t="s">
        <v>303</v>
      </c>
      <c r="H112" s="73" t="s">
        <v>1295</v>
      </c>
    </row>
    <row r="113" spans="2:8" ht="26" x14ac:dyDescent="0.15">
      <c r="B113" s="72" t="s">
        <v>1293</v>
      </c>
      <c r="C113" s="73">
        <v>22</v>
      </c>
      <c r="D113" s="72" t="s">
        <v>183</v>
      </c>
      <c r="E113" s="73">
        <v>5</v>
      </c>
      <c r="F113" s="74" t="s">
        <v>21</v>
      </c>
      <c r="G113" s="72" t="s">
        <v>303</v>
      </c>
      <c r="H113" s="73" t="s">
        <v>1295</v>
      </c>
    </row>
    <row r="114" spans="2:8" ht="26" x14ac:dyDescent="0.15">
      <c r="B114" s="72" t="s">
        <v>1293</v>
      </c>
      <c r="C114" s="73">
        <v>23</v>
      </c>
      <c r="D114" s="72" t="s">
        <v>184</v>
      </c>
      <c r="E114" s="73">
        <v>5</v>
      </c>
      <c r="F114" s="74" t="s">
        <v>21</v>
      </c>
      <c r="G114" s="72" t="s">
        <v>303</v>
      </c>
      <c r="H114" s="73" t="s">
        <v>1294</v>
      </c>
    </row>
    <row r="115" spans="2:8" ht="26" x14ac:dyDescent="0.15">
      <c r="B115" s="72" t="s">
        <v>1293</v>
      </c>
      <c r="C115" s="73">
        <v>24</v>
      </c>
      <c r="D115" s="72" t="s">
        <v>185</v>
      </c>
      <c r="E115" s="73">
        <v>4</v>
      </c>
      <c r="F115" s="74" t="s">
        <v>21</v>
      </c>
      <c r="G115" s="72" t="s">
        <v>303</v>
      </c>
      <c r="H115" s="73" t="s">
        <v>1275</v>
      </c>
    </row>
    <row r="116" spans="2:8" ht="26" x14ac:dyDescent="0.15">
      <c r="B116" s="72" t="s">
        <v>1293</v>
      </c>
      <c r="C116" s="73">
        <v>25</v>
      </c>
      <c r="D116" s="72" t="s">
        <v>186</v>
      </c>
      <c r="E116" s="73">
        <v>5</v>
      </c>
      <c r="F116" s="74" t="s">
        <v>21</v>
      </c>
      <c r="G116" s="72" t="s">
        <v>303</v>
      </c>
      <c r="H116" s="73" t="s">
        <v>1294</v>
      </c>
    </row>
    <row r="117" spans="2:8" ht="26" x14ac:dyDescent="0.15">
      <c r="B117" s="72" t="s">
        <v>1293</v>
      </c>
      <c r="C117" s="73">
        <v>26</v>
      </c>
      <c r="D117" s="72" t="s">
        <v>187</v>
      </c>
      <c r="E117" s="73">
        <v>4</v>
      </c>
      <c r="F117" s="74" t="s">
        <v>21</v>
      </c>
      <c r="G117" s="72" t="s">
        <v>303</v>
      </c>
      <c r="H117" s="73" t="s">
        <v>1294</v>
      </c>
    </row>
    <row r="118" spans="2:8" ht="26" x14ac:dyDescent="0.15">
      <c r="B118" s="72" t="s">
        <v>1293</v>
      </c>
      <c r="C118" s="73">
        <v>27</v>
      </c>
      <c r="D118" s="72" t="s">
        <v>188</v>
      </c>
      <c r="E118" s="73">
        <v>4</v>
      </c>
      <c r="F118" s="74" t="s">
        <v>21</v>
      </c>
      <c r="G118" s="72" t="s">
        <v>303</v>
      </c>
      <c r="H118" s="73" t="s">
        <v>1296</v>
      </c>
    </row>
    <row r="119" spans="2:8" ht="26" x14ac:dyDescent="0.15">
      <c r="B119" s="72" t="s">
        <v>1293</v>
      </c>
      <c r="C119" s="73">
        <v>28</v>
      </c>
      <c r="D119" s="72" t="s">
        <v>189</v>
      </c>
      <c r="E119" s="73">
        <v>3</v>
      </c>
      <c r="F119" s="74" t="s">
        <v>21</v>
      </c>
      <c r="G119" s="72" t="s">
        <v>303</v>
      </c>
      <c r="H119" s="73" t="s">
        <v>1294</v>
      </c>
    </row>
    <row r="120" spans="2:8" ht="26" x14ac:dyDescent="0.15">
      <c r="B120" s="72" t="s">
        <v>1293</v>
      </c>
      <c r="C120" s="73">
        <v>29</v>
      </c>
      <c r="D120" s="72" t="s">
        <v>191</v>
      </c>
      <c r="E120" s="73">
        <v>5</v>
      </c>
      <c r="F120" s="74" t="s">
        <v>21</v>
      </c>
      <c r="G120" s="72" t="s">
        <v>303</v>
      </c>
      <c r="H120" s="73" t="s">
        <v>1296</v>
      </c>
    </row>
    <row r="121" spans="2:8" ht="26" x14ac:dyDescent="0.15">
      <c r="B121" s="72" t="s">
        <v>1293</v>
      </c>
      <c r="C121" s="73">
        <v>30</v>
      </c>
      <c r="D121" s="72" t="s">
        <v>192</v>
      </c>
      <c r="E121" s="73">
        <v>5</v>
      </c>
      <c r="F121" s="74" t="s">
        <v>21</v>
      </c>
      <c r="G121" s="72" t="s">
        <v>303</v>
      </c>
      <c r="H121" s="73" t="s">
        <v>1294</v>
      </c>
    </row>
    <row r="122" spans="2:8" ht="26" x14ac:dyDescent="0.15">
      <c r="B122" s="72" t="s">
        <v>1293</v>
      </c>
      <c r="C122" s="73">
        <v>31</v>
      </c>
      <c r="D122" s="72" t="s">
        <v>193</v>
      </c>
      <c r="E122" s="73">
        <v>4</v>
      </c>
      <c r="F122" s="74" t="s">
        <v>21</v>
      </c>
      <c r="G122" s="72" t="s">
        <v>303</v>
      </c>
      <c r="H122" s="73" t="s">
        <v>1299</v>
      </c>
    </row>
    <row r="123" spans="2:8" ht="26" x14ac:dyDescent="0.15">
      <c r="B123" s="72" t="s">
        <v>1293</v>
      </c>
      <c r="C123" s="73">
        <v>32</v>
      </c>
      <c r="D123" s="72" t="s">
        <v>194</v>
      </c>
      <c r="E123" s="73">
        <v>5</v>
      </c>
      <c r="F123" s="74" t="s">
        <v>21</v>
      </c>
      <c r="G123" s="72" t="s">
        <v>303</v>
      </c>
      <c r="H123" s="73" t="s">
        <v>1300</v>
      </c>
    </row>
    <row r="124" spans="2:8" ht="26" x14ac:dyDescent="0.15">
      <c r="B124" s="72" t="s">
        <v>1293</v>
      </c>
      <c r="C124" s="73">
        <v>33</v>
      </c>
      <c r="D124" s="72" t="s">
        <v>195</v>
      </c>
      <c r="E124" s="73">
        <v>3</v>
      </c>
      <c r="F124" s="74" t="s">
        <v>21</v>
      </c>
      <c r="G124" s="72" t="s">
        <v>303</v>
      </c>
      <c r="H124" s="73" t="s">
        <v>1268</v>
      </c>
    </row>
    <row r="125" spans="2:8" ht="26" x14ac:dyDescent="0.15">
      <c r="B125" s="72" t="s">
        <v>1301</v>
      </c>
      <c r="C125" s="73">
        <v>1</v>
      </c>
      <c r="D125" s="72" t="s">
        <v>204</v>
      </c>
      <c r="E125" s="73">
        <v>5</v>
      </c>
      <c r="F125" s="74" t="s">
        <v>21</v>
      </c>
      <c r="G125" s="72" t="s">
        <v>309</v>
      </c>
      <c r="H125" s="73" t="s">
        <v>1302</v>
      </c>
    </row>
    <row r="126" spans="2:8" ht="26" x14ac:dyDescent="0.15">
      <c r="B126" s="72" t="s">
        <v>1301</v>
      </c>
      <c r="C126" s="73">
        <v>2</v>
      </c>
      <c r="D126" s="72" t="s">
        <v>206</v>
      </c>
      <c r="E126" s="73">
        <v>5</v>
      </c>
      <c r="F126" s="74" t="s">
        <v>21</v>
      </c>
      <c r="G126" s="72" t="s">
        <v>309</v>
      </c>
      <c r="H126" s="73" t="s">
        <v>1302</v>
      </c>
    </row>
    <row r="127" spans="2:8" ht="26" x14ac:dyDescent="0.15">
      <c r="B127" s="72" t="s">
        <v>1301</v>
      </c>
      <c r="C127" s="73">
        <v>3</v>
      </c>
      <c r="D127" s="72" t="s">
        <v>207</v>
      </c>
      <c r="E127" s="73">
        <v>5</v>
      </c>
      <c r="F127" s="74" t="s">
        <v>21</v>
      </c>
      <c r="G127" s="72" t="s">
        <v>309</v>
      </c>
      <c r="H127" s="73" t="s">
        <v>1302</v>
      </c>
    </row>
    <row r="128" spans="2:8" ht="26" x14ac:dyDescent="0.15">
      <c r="B128" s="72" t="s">
        <v>1301</v>
      </c>
      <c r="C128" s="73">
        <v>4</v>
      </c>
      <c r="D128" s="72" t="s">
        <v>208</v>
      </c>
      <c r="E128" s="73">
        <v>5</v>
      </c>
      <c r="F128" s="74" t="s">
        <v>21</v>
      </c>
      <c r="G128" s="72" t="s">
        <v>309</v>
      </c>
      <c r="H128" s="73" t="s">
        <v>1302</v>
      </c>
    </row>
    <row r="129" spans="2:8" ht="26" x14ac:dyDescent="0.15">
      <c r="B129" s="72" t="s">
        <v>1301</v>
      </c>
      <c r="C129" s="73">
        <v>5</v>
      </c>
      <c r="D129" s="72" t="s">
        <v>209</v>
      </c>
      <c r="E129" s="73">
        <v>5</v>
      </c>
      <c r="F129" s="74" t="s">
        <v>21</v>
      </c>
      <c r="G129" s="72" t="s">
        <v>309</v>
      </c>
      <c r="H129" s="73" t="s">
        <v>1302</v>
      </c>
    </row>
    <row r="130" spans="2:8" ht="26" x14ac:dyDescent="0.15">
      <c r="B130" s="72" t="s">
        <v>1301</v>
      </c>
      <c r="C130" s="73">
        <v>6</v>
      </c>
      <c r="D130" s="72" t="s">
        <v>210</v>
      </c>
      <c r="E130" s="73">
        <v>5</v>
      </c>
      <c r="F130" s="74" t="s">
        <v>21</v>
      </c>
      <c r="G130" s="72" t="s">
        <v>309</v>
      </c>
      <c r="H130" s="73" t="s">
        <v>1303</v>
      </c>
    </row>
    <row r="131" spans="2:8" ht="26" x14ac:dyDescent="0.15">
      <c r="B131" s="72" t="s">
        <v>1301</v>
      </c>
      <c r="C131" s="73">
        <v>7</v>
      </c>
      <c r="D131" s="72" t="s">
        <v>211</v>
      </c>
      <c r="E131" s="73">
        <v>5</v>
      </c>
      <c r="F131" s="74" t="s">
        <v>21</v>
      </c>
      <c r="G131" s="72" t="s">
        <v>309</v>
      </c>
      <c r="H131" s="73" t="s">
        <v>1303</v>
      </c>
    </row>
    <row r="132" spans="2:8" ht="26" x14ac:dyDescent="0.15">
      <c r="B132" s="72" t="s">
        <v>1301</v>
      </c>
      <c r="C132" s="73">
        <v>8</v>
      </c>
      <c r="D132" s="72" t="s">
        <v>212</v>
      </c>
      <c r="E132" s="73">
        <v>5</v>
      </c>
      <c r="F132" s="74" t="s">
        <v>21</v>
      </c>
      <c r="G132" s="72" t="s">
        <v>309</v>
      </c>
      <c r="H132" s="73" t="s">
        <v>1303</v>
      </c>
    </row>
    <row r="133" spans="2:8" ht="26" x14ac:dyDescent="0.15">
      <c r="B133" s="72" t="s">
        <v>1301</v>
      </c>
      <c r="C133" s="73">
        <v>9</v>
      </c>
      <c r="D133" s="72" t="s">
        <v>213</v>
      </c>
      <c r="E133" s="73">
        <v>5</v>
      </c>
      <c r="F133" s="74" t="s">
        <v>21</v>
      </c>
      <c r="G133" s="72" t="s">
        <v>309</v>
      </c>
      <c r="H133" s="73" t="s">
        <v>1302</v>
      </c>
    </row>
    <row r="134" spans="2:8" ht="26" x14ac:dyDescent="0.15">
      <c r="B134" s="72" t="s">
        <v>1301</v>
      </c>
      <c r="C134" s="73">
        <v>10</v>
      </c>
      <c r="D134" s="72" t="s">
        <v>214</v>
      </c>
      <c r="E134" s="73">
        <v>3</v>
      </c>
      <c r="F134" s="74" t="s">
        <v>21</v>
      </c>
      <c r="G134" s="72" t="s">
        <v>309</v>
      </c>
      <c r="H134" s="73" t="s">
        <v>1304</v>
      </c>
    </row>
    <row r="135" spans="2:8" ht="26" x14ac:dyDescent="0.15">
      <c r="B135" s="72" t="s">
        <v>1301</v>
      </c>
      <c r="C135" s="73">
        <v>11</v>
      </c>
      <c r="D135" s="72" t="s">
        <v>215</v>
      </c>
      <c r="E135" s="73">
        <v>3</v>
      </c>
      <c r="F135" s="74" t="s">
        <v>21</v>
      </c>
      <c r="G135" s="72" t="s">
        <v>309</v>
      </c>
      <c r="H135" s="73" t="s">
        <v>1304</v>
      </c>
    </row>
    <row r="136" spans="2:8" ht="26" x14ac:dyDescent="0.15">
      <c r="B136" s="72" t="s">
        <v>1301</v>
      </c>
      <c r="C136" s="73">
        <v>12</v>
      </c>
      <c r="D136" s="72" t="s">
        <v>216</v>
      </c>
      <c r="E136" s="73">
        <v>5</v>
      </c>
      <c r="F136" s="74" t="s">
        <v>21</v>
      </c>
      <c r="G136" s="72" t="s">
        <v>303</v>
      </c>
      <c r="H136" s="73" t="s">
        <v>1278</v>
      </c>
    </row>
    <row r="137" spans="2:8" ht="26" x14ac:dyDescent="0.15">
      <c r="B137" s="72" t="s">
        <v>1301</v>
      </c>
      <c r="C137" s="73">
        <v>13</v>
      </c>
      <c r="D137" s="72" t="s">
        <v>217</v>
      </c>
      <c r="E137" s="73">
        <v>5</v>
      </c>
      <c r="F137" s="74" t="s">
        <v>21</v>
      </c>
      <c r="G137" s="72" t="s">
        <v>303</v>
      </c>
      <c r="H137" s="73" t="s">
        <v>1302</v>
      </c>
    </row>
    <row r="138" spans="2:8" ht="26" x14ac:dyDescent="0.15">
      <c r="B138" s="72" t="s">
        <v>1301</v>
      </c>
      <c r="C138" s="73">
        <v>14</v>
      </c>
      <c r="D138" s="72" t="s">
        <v>218</v>
      </c>
      <c r="E138" s="73">
        <v>5</v>
      </c>
      <c r="F138" s="74" t="s">
        <v>21</v>
      </c>
      <c r="G138" s="72" t="s">
        <v>303</v>
      </c>
      <c r="H138" s="73" t="s">
        <v>1302</v>
      </c>
    </row>
    <row r="139" spans="2:8" ht="26" x14ac:dyDescent="0.15">
      <c r="B139" s="72" t="s">
        <v>1301</v>
      </c>
      <c r="C139" s="73">
        <v>15</v>
      </c>
      <c r="D139" s="72" t="s">
        <v>219</v>
      </c>
      <c r="E139" s="73">
        <v>5</v>
      </c>
      <c r="F139" s="74" t="s">
        <v>21</v>
      </c>
      <c r="G139" s="72" t="s">
        <v>303</v>
      </c>
      <c r="H139" s="73" t="s">
        <v>1278</v>
      </c>
    </row>
    <row r="140" spans="2:8" ht="26" x14ac:dyDescent="0.15">
      <c r="B140" s="72" t="s">
        <v>1301</v>
      </c>
      <c r="C140" s="73">
        <v>16</v>
      </c>
      <c r="D140" s="72" t="s">
        <v>220</v>
      </c>
      <c r="E140" s="73">
        <v>5</v>
      </c>
      <c r="F140" s="74" t="s">
        <v>21</v>
      </c>
      <c r="G140" s="72" t="s">
        <v>303</v>
      </c>
      <c r="H140" s="73" t="s">
        <v>1302</v>
      </c>
    </row>
    <row r="141" spans="2:8" ht="26" x14ac:dyDescent="0.15">
      <c r="B141" s="72" t="s">
        <v>1301</v>
      </c>
      <c r="C141" s="73">
        <v>17</v>
      </c>
      <c r="D141" s="72" t="s">
        <v>221</v>
      </c>
      <c r="E141" s="73">
        <v>5</v>
      </c>
      <c r="F141" s="74" t="s">
        <v>21</v>
      </c>
      <c r="G141" s="72" t="s">
        <v>303</v>
      </c>
      <c r="H141" s="73" t="s">
        <v>1302</v>
      </c>
    </row>
    <row r="142" spans="2:8" ht="26" x14ac:dyDescent="0.15">
      <c r="B142" s="72" t="s">
        <v>1301</v>
      </c>
      <c r="C142" s="73">
        <v>18</v>
      </c>
      <c r="D142" s="72" t="s">
        <v>222</v>
      </c>
      <c r="E142" s="73">
        <v>5</v>
      </c>
      <c r="F142" s="74" t="s">
        <v>21</v>
      </c>
      <c r="G142" s="72" t="s">
        <v>303</v>
      </c>
      <c r="H142" s="73" t="s">
        <v>1302</v>
      </c>
    </row>
    <row r="143" spans="2:8" ht="26" x14ac:dyDescent="0.15">
      <c r="B143" s="72" t="s">
        <v>1301</v>
      </c>
      <c r="C143" s="73">
        <v>19</v>
      </c>
      <c r="D143" s="72" t="s">
        <v>223</v>
      </c>
      <c r="E143" s="73">
        <v>5</v>
      </c>
      <c r="F143" s="74" t="s">
        <v>21</v>
      </c>
      <c r="G143" s="72" t="s">
        <v>303</v>
      </c>
      <c r="H143" s="73" t="s">
        <v>1302</v>
      </c>
    </row>
    <row r="144" spans="2:8" ht="26" x14ac:dyDescent="0.15">
      <c r="B144" s="72" t="s">
        <v>1301</v>
      </c>
      <c r="C144" s="73">
        <v>20</v>
      </c>
      <c r="D144" s="72" t="s">
        <v>224</v>
      </c>
      <c r="E144" s="73">
        <v>5</v>
      </c>
      <c r="F144" s="74" t="s">
        <v>21</v>
      </c>
      <c r="G144" s="72" t="s">
        <v>303</v>
      </c>
      <c r="H144" s="73" t="s">
        <v>1302</v>
      </c>
    </row>
    <row r="145" spans="2:8" ht="39" x14ac:dyDescent="0.15">
      <c r="B145" s="72" t="s">
        <v>1301</v>
      </c>
      <c r="C145" s="73">
        <v>21</v>
      </c>
      <c r="D145" s="72" t="s">
        <v>225</v>
      </c>
      <c r="E145" s="73">
        <v>5</v>
      </c>
      <c r="F145" s="74" t="s">
        <v>21</v>
      </c>
      <c r="G145" s="72" t="s">
        <v>303</v>
      </c>
      <c r="H145" s="73" t="s">
        <v>1304</v>
      </c>
    </row>
    <row r="146" spans="2:8" ht="26" x14ac:dyDescent="0.15">
      <c r="B146" s="72" t="s">
        <v>1301</v>
      </c>
      <c r="C146" s="73">
        <v>22</v>
      </c>
      <c r="D146" s="72" t="s">
        <v>226</v>
      </c>
      <c r="E146" s="73">
        <v>5</v>
      </c>
      <c r="F146" s="74" t="s">
        <v>21</v>
      </c>
      <c r="G146" s="72" t="s">
        <v>303</v>
      </c>
      <c r="H146" s="73" t="s">
        <v>1286</v>
      </c>
    </row>
    <row r="147" spans="2:8" ht="26" x14ac:dyDescent="0.15">
      <c r="B147" s="72" t="s">
        <v>1301</v>
      </c>
      <c r="C147" s="73">
        <v>23</v>
      </c>
      <c r="D147" s="72" t="s">
        <v>227</v>
      </c>
      <c r="E147" s="73">
        <v>4</v>
      </c>
      <c r="F147" s="74" t="s">
        <v>21</v>
      </c>
      <c r="G147" s="72" t="s">
        <v>303</v>
      </c>
      <c r="H147" s="73" t="s">
        <v>1278</v>
      </c>
    </row>
    <row r="148" spans="2:8" ht="26" x14ac:dyDescent="0.15">
      <c r="B148" s="72" t="s">
        <v>1301</v>
      </c>
      <c r="C148" s="73">
        <v>24</v>
      </c>
      <c r="D148" s="72" t="s">
        <v>228</v>
      </c>
      <c r="E148" s="73">
        <v>3</v>
      </c>
      <c r="F148" s="74" t="s">
        <v>21</v>
      </c>
      <c r="G148" s="72" t="s">
        <v>303</v>
      </c>
      <c r="H148" s="73" t="s">
        <v>1304</v>
      </c>
    </row>
    <row r="149" spans="2:8" ht="39" x14ac:dyDescent="0.15">
      <c r="B149" s="72" t="s">
        <v>1301</v>
      </c>
      <c r="C149" s="73">
        <v>25</v>
      </c>
      <c r="D149" s="72" t="s">
        <v>229</v>
      </c>
      <c r="E149" s="73">
        <v>5</v>
      </c>
      <c r="F149" s="74" t="s">
        <v>21</v>
      </c>
      <c r="G149" s="72" t="s">
        <v>309</v>
      </c>
      <c r="H149" s="73" t="s">
        <v>1305</v>
      </c>
    </row>
    <row r="150" spans="2:8" ht="26" x14ac:dyDescent="0.15">
      <c r="B150" s="72" t="s">
        <v>1301</v>
      </c>
      <c r="C150" s="73">
        <v>26</v>
      </c>
      <c r="D150" s="72" t="s">
        <v>230</v>
      </c>
      <c r="E150" s="73">
        <v>5</v>
      </c>
      <c r="F150" s="74" t="s">
        <v>21</v>
      </c>
      <c r="G150" s="72" t="s">
        <v>309</v>
      </c>
      <c r="H150" s="73" t="s">
        <v>1305</v>
      </c>
    </row>
    <row r="151" spans="2:8" ht="26" x14ac:dyDescent="0.15">
      <c r="B151" s="72" t="s">
        <v>1301</v>
      </c>
      <c r="C151" s="73">
        <v>27</v>
      </c>
      <c r="D151" s="72" t="s">
        <v>231</v>
      </c>
      <c r="E151" s="73">
        <v>5</v>
      </c>
      <c r="F151" s="74" t="s">
        <v>21</v>
      </c>
      <c r="G151" s="72" t="s">
        <v>309</v>
      </c>
      <c r="H151" s="73" t="s">
        <v>1302</v>
      </c>
    </row>
    <row r="152" spans="2:8" ht="26" x14ac:dyDescent="0.15">
      <c r="B152" s="72" t="s">
        <v>1301</v>
      </c>
      <c r="C152" s="73">
        <v>28</v>
      </c>
      <c r="D152" s="72" t="s">
        <v>232</v>
      </c>
      <c r="E152" s="73">
        <v>5</v>
      </c>
      <c r="F152" s="74" t="s">
        <v>21</v>
      </c>
      <c r="G152" s="72" t="s">
        <v>309</v>
      </c>
      <c r="H152" s="73" t="s">
        <v>1306</v>
      </c>
    </row>
    <row r="153" spans="2:8" ht="26" x14ac:dyDescent="0.15">
      <c r="B153" s="72" t="s">
        <v>1301</v>
      </c>
      <c r="C153" s="73">
        <v>29</v>
      </c>
      <c r="D153" s="72" t="s">
        <v>233</v>
      </c>
      <c r="E153" s="73">
        <v>3</v>
      </c>
      <c r="F153" s="74" t="s">
        <v>21</v>
      </c>
      <c r="G153" s="72" t="s">
        <v>309</v>
      </c>
      <c r="H153" s="73" t="s">
        <v>1304</v>
      </c>
    </row>
    <row r="154" spans="2:8" ht="26" x14ac:dyDescent="0.15">
      <c r="B154" s="72" t="s">
        <v>1301</v>
      </c>
      <c r="C154" s="73">
        <v>30</v>
      </c>
      <c r="D154" s="72" t="s">
        <v>235</v>
      </c>
      <c r="E154" s="73">
        <v>5</v>
      </c>
      <c r="F154" s="74" t="s">
        <v>21</v>
      </c>
      <c r="G154" s="72" t="s">
        <v>303</v>
      </c>
      <c r="H154" s="73" t="s">
        <v>1303</v>
      </c>
    </row>
    <row r="155" spans="2:8" ht="26" x14ac:dyDescent="0.15">
      <c r="B155" s="72" t="s">
        <v>1301</v>
      </c>
      <c r="C155" s="73">
        <v>31</v>
      </c>
      <c r="D155" s="72" t="s">
        <v>236</v>
      </c>
      <c r="E155" s="73">
        <v>5</v>
      </c>
      <c r="F155" s="74" t="s">
        <v>21</v>
      </c>
      <c r="G155" s="72" t="s">
        <v>303</v>
      </c>
      <c r="H155" s="73" t="s">
        <v>1303</v>
      </c>
    </row>
    <row r="156" spans="2:8" ht="26" x14ac:dyDescent="0.15">
      <c r="B156" s="72" t="s">
        <v>1301</v>
      </c>
      <c r="C156" s="73">
        <v>32</v>
      </c>
      <c r="D156" s="72" t="s">
        <v>237</v>
      </c>
      <c r="E156" s="73">
        <v>5</v>
      </c>
      <c r="F156" s="74" t="s">
        <v>21</v>
      </c>
      <c r="G156" s="72" t="s">
        <v>303</v>
      </c>
      <c r="H156" s="73" t="s">
        <v>1303</v>
      </c>
    </row>
    <row r="157" spans="2:8" ht="26" x14ac:dyDescent="0.15">
      <c r="B157" s="72" t="s">
        <v>1301</v>
      </c>
      <c r="C157" s="73">
        <v>33</v>
      </c>
      <c r="D157" s="72" t="s">
        <v>238</v>
      </c>
      <c r="E157" s="73">
        <v>5</v>
      </c>
      <c r="F157" s="74" t="s">
        <v>21</v>
      </c>
      <c r="G157" s="72" t="s">
        <v>303</v>
      </c>
      <c r="H157" s="73" t="s">
        <v>1288</v>
      </c>
    </row>
    <row r="158" spans="2:8" ht="26" x14ac:dyDescent="0.15">
      <c r="B158" s="72" t="s">
        <v>1301</v>
      </c>
      <c r="C158" s="73">
        <v>34</v>
      </c>
      <c r="D158" s="72" t="s">
        <v>239</v>
      </c>
      <c r="E158" s="73">
        <v>5</v>
      </c>
      <c r="F158" s="74" t="s">
        <v>21</v>
      </c>
      <c r="G158" s="72" t="s">
        <v>303</v>
      </c>
      <c r="H158" s="73" t="s">
        <v>1288</v>
      </c>
    </row>
    <row r="159" spans="2:8" ht="26" x14ac:dyDescent="0.15">
      <c r="B159" s="72" t="s">
        <v>1301</v>
      </c>
      <c r="C159" s="73">
        <v>35</v>
      </c>
      <c r="D159" s="72" t="s">
        <v>240</v>
      </c>
      <c r="E159" s="73">
        <v>5</v>
      </c>
      <c r="F159" s="74" t="s">
        <v>21</v>
      </c>
      <c r="G159" s="72" t="s">
        <v>303</v>
      </c>
      <c r="H159" s="73" t="s">
        <v>1303</v>
      </c>
    </row>
    <row r="160" spans="2:8" ht="26" x14ac:dyDescent="0.15">
      <c r="B160" s="72" t="s">
        <v>1301</v>
      </c>
      <c r="C160" s="73">
        <v>36</v>
      </c>
      <c r="D160" s="72" t="s">
        <v>241</v>
      </c>
      <c r="E160" s="73">
        <v>5</v>
      </c>
      <c r="F160" s="74" t="s">
        <v>21</v>
      </c>
      <c r="G160" s="72" t="s">
        <v>303</v>
      </c>
      <c r="H160" s="73" t="s">
        <v>1302</v>
      </c>
    </row>
    <row r="161" spans="2:8" ht="26" x14ac:dyDescent="0.15">
      <c r="B161" s="72" t="s">
        <v>1301</v>
      </c>
      <c r="C161" s="73">
        <v>37</v>
      </c>
      <c r="D161" s="72" t="s">
        <v>242</v>
      </c>
      <c r="E161" s="73">
        <v>4</v>
      </c>
      <c r="F161" s="74" t="s">
        <v>21</v>
      </c>
      <c r="G161" s="72" t="s">
        <v>303</v>
      </c>
      <c r="H161" s="73" t="s">
        <v>1302</v>
      </c>
    </row>
    <row r="162" spans="2:8" ht="26" x14ac:dyDescent="0.15">
      <c r="B162" s="72" t="s">
        <v>1301</v>
      </c>
      <c r="C162" s="73">
        <v>38</v>
      </c>
      <c r="D162" s="72" t="s">
        <v>243</v>
      </c>
      <c r="E162" s="73">
        <v>5</v>
      </c>
      <c r="F162" s="74" t="s">
        <v>21</v>
      </c>
      <c r="G162" s="72" t="s">
        <v>303</v>
      </c>
      <c r="H162" s="73" t="s">
        <v>1286</v>
      </c>
    </row>
    <row r="163" spans="2:8" ht="26" x14ac:dyDescent="0.15">
      <c r="B163" s="72" t="s">
        <v>1301</v>
      </c>
      <c r="C163" s="73">
        <v>39</v>
      </c>
      <c r="D163" s="72" t="s">
        <v>245</v>
      </c>
      <c r="E163" s="73">
        <v>5</v>
      </c>
      <c r="F163" s="74" t="s">
        <v>21</v>
      </c>
      <c r="G163" s="72" t="s">
        <v>303</v>
      </c>
      <c r="H163" s="73" t="s">
        <v>1302</v>
      </c>
    </row>
    <row r="164" spans="2:8" ht="26" x14ac:dyDescent="0.15">
      <c r="B164" s="72" t="s">
        <v>1301</v>
      </c>
      <c r="C164" s="73">
        <v>40</v>
      </c>
      <c r="D164" s="72" t="s">
        <v>246</v>
      </c>
      <c r="E164" s="73">
        <v>5</v>
      </c>
      <c r="F164" s="74" t="s">
        <v>21</v>
      </c>
      <c r="G164" s="72" t="s">
        <v>303</v>
      </c>
      <c r="H164" s="73" t="s">
        <v>1307</v>
      </c>
    </row>
    <row r="165" spans="2:8" ht="26" x14ac:dyDescent="0.15">
      <c r="B165" s="72" t="s">
        <v>1301</v>
      </c>
      <c r="C165" s="73">
        <v>41</v>
      </c>
      <c r="D165" s="72" t="s">
        <v>247</v>
      </c>
      <c r="E165" s="73">
        <v>4</v>
      </c>
      <c r="F165" s="74" t="s">
        <v>21</v>
      </c>
      <c r="G165" s="72" t="s">
        <v>303</v>
      </c>
      <c r="H165" s="73" t="s">
        <v>1302</v>
      </c>
    </row>
    <row r="166" spans="2:8" ht="26" x14ac:dyDescent="0.15">
      <c r="B166" s="72" t="s">
        <v>1301</v>
      </c>
      <c r="C166" s="73">
        <v>42</v>
      </c>
      <c r="D166" s="72" t="s">
        <v>248</v>
      </c>
      <c r="E166" s="73">
        <v>4</v>
      </c>
      <c r="F166" s="74" t="s">
        <v>21</v>
      </c>
      <c r="G166" s="72" t="s">
        <v>303</v>
      </c>
      <c r="H166" s="73" t="s">
        <v>1302</v>
      </c>
    </row>
  </sheetData>
  <mergeCells count="3">
    <mergeCell ref="B2:H2"/>
    <mergeCell ref="B3:H3"/>
    <mergeCell ref="B4:H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AF5B78-0980-A845-AC57-C214E582BA19}">
  <sheetPr codeName="Blad12">
    <tabColor rgb="FF1B3A5C"/>
    <pageSetUpPr fitToPage="1"/>
  </sheetPr>
  <dimension ref="B2:I93"/>
  <sheetViews>
    <sheetView showGridLines="0" zoomScale="120" zoomScaleNormal="100" workbookViewId="0">
      <selection activeCell="D38" sqref="D38"/>
    </sheetView>
  </sheetViews>
  <sheetFormatPr baseColWidth="10" defaultColWidth="8.83203125" defaultRowHeight="15" x14ac:dyDescent="0.2"/>
  <cols>
    <col min="1" max="1" width="3" customWidth="1"/>
    <col min="2" max="2" width="26" customWidth="1"/>
    <col min="3" max="4" width="13" customWidth="1"/>
    <col min="5" max="5" width="15" customWidth="1"/>
    <col min="6" max="8" width="13" customWidth="1"/>
    <col min="9" max="9" width="10" hidden="1" customWidth="1"/>
  </cols>
  <sheetData>
    <row r="2" spans="2:9" ht="36" customHeight="1" x14ac:dyDescent="0.2">
      <c r="B2" s="86" t="s">
        <v>1200</v>
      </c>
      <c r="C2" s="86"/>
      <c r="D2" s="86"/>
      <c r="E2" s="86"/>
      <c r="F2" s="86"/>
      <c r="G2" s="86"/>
      <c r="H2" s="86"/>
    </row>
    <row r="3" spans="2:9" ht="21.75" customHeight="1" x14ac:dyDescent="0.2">
      <c r="B3" s="82" t="s">
        <v>1201</v>
      </c>
      <c r="C3" s="82"/>
      <c r="D3" s="82"/>
      <c r="E3" s="82"/>
      <c r="F3" s="82"/>
      <c r="G3" s="82"/>
      <c r="H3" s="82"/>
    </row>
    <row r="5" spans="2:9" ht="16.25" customHeight="1" x14ac:dyDescent="0.2">
      <c r="B5" s="80" t="s">
        <v>1202</v>
      </c>
      <c r="C5" s="80"/>
      <c r="D5" s="80"/>
      <c r="E5" s="80"/>
      <c r="F5" s="80"/>
      <c r="G5" s="80"/>
      <c r="H5" s="80"/>
    </row>
    <row r="6" spans="2:9" ht="18" customHeight="1" x14ac:dyDescent="0.2">
      <c r="B6" s="3" t="s">
        <v>30</v>
      </c>
      <c r="C6" s="13" t="str">
        <f>IF(ISNUMBER(Bakgrund!$C$8),Bakgrund!$C$8,"")</f>
        <v/>
      </c>
      <c r="D6" s="95" t="s">
        <v>1203</v>
      </c>
      <c r="E6" s="95"/>
      <c r="F6" s="95"/>
      <c r="G6" s="95"/>
      <c r="H6" s="95"/>
    </row>
    <row r="7" spans="2:9" ht="18" customHeight="1" x14ac:dyDescent="0.2">
      <c r="B7" s="3" t="s">
        <v>1204</v>
      </c>
      <c r="C7" s="58">
        <v>7.5</v>
      </c>
      <c r="D7" s="95" t="s">
        <v>1205</v>
      </c>
      <c r="E7" s="95"/>
      <c r="F7" s="95"/>
      <c r="G7" s="95"/>
      <c r="H7" s="95"/>
    </row>
    <row r="8" spans="2:9" ht="18" customHeight="1" x14ac:dyDescent="0.2">
      <c r="B8" s="3" t="s">
        <v>1206</v>
      </c>
      <c r="C8" s="62">
        <f>F26</f>
        <v>0</v>
      </c>
      <c r="D8" s="95" t="str">
        <f>IF(F26&gt;0,"≈ "&amp;SUBSTITUTE(ROUND(F26/30.44,1)&amp;"",".",",")&amp;" månader – se tabellen nedan","Inga uppehåll ifyllda.")</f>
        <v>Inga uppehåll ifyllda.</v>
      </c>
      <c r="E8" s="95"/>
      <c r="F8" s="95"/>
      <c r="G8" s="95"/>
      <c r="H8" s="95"/>
    </row>
    <row r="9" spans="2:9" ht="18" customHeight="1" x14ac:dyDescent="0.2">
      <c r="B9" s="3" t="s">
        <v>31</v>
      </c>
      <c r="C9" s="13" t="str">
        <f>Bakgrund!$C$9</f>
        <v/>
      </c>
      <c r="D9" s="95" t="s">
        <v>1207</v>
      </c>
      <c r="E9" s="95"/>
      <c r="F9" s="95"/>
      <c r="G9" s="95"/>
      <c r="H9" s="95"/>
    </row>
    <row r="11" spans="2:9" ht="16.25" customHeight="1" x14ac:dyDescent="0.2">
      <c r="B11" s="80" t="s">
        <v>1208</v>
      </c>
      <c r="C11" s="80"/>
      <c r="D11" s="80"/>
      <c r="E11" s="80"/>
      <c r="F11" s="80"/>
      <c r="G11" s="80"/>
      <c r="H11" s="80"/>
    </row>
    <row r="12" spans="2:9" ht="30" customHeight="1" x14ac:dyDescent="0.2">
      <c r="B12" s="83" t="s">
        <v>1209</v>
      </c>
      <c r="C12" s="83"/>
      <c r="D12" s="83"/>
      <c r="E12" s="83"/>
      <c r="F12" s="83"/>
      <c r="G12" s="83"/>
      <c r="H12" s="83"/>
    </row>
    <row r="13" spans="2:9" ht="22" customHeight="1" x14ac:dyDescent="0.2">
      <c r="B13" s="17" t="s">
        <v>564</v>
      </c>
      <c r="C13" s="17" t="s">
        <v>1210</v>
      </c>
      <c r="D13" s="17" t="s">
        <v>1211</v>
      </c>
      <c r="E13" s="17" t="s">
        <v>1212</v>
      </c>
      <c r="F13" s="17" t="s">
        <v>1213</v>
      </c>
      <c r="G13" s="93" t="s">
        <v>69</v>
      </c>
      <c r="H13" s="93"/>
    </row>
    <row r="14" spans="2:9" ht="18" customHeight="1" x14ac:dyDescent="0.2">
      <c r="B14" s="34"/>
      <c r="C14" s="56"/>
      <c r="D14" s="56"/>
      <c r="E14" s="57"/>
      <c r="F14" s="60" t="str">
        <f t="shared" ref="F14:F25" si="0">IF(AND(ISNUMBER(C14),ISNUMBER(D14)),IF(D14&gt;=C14,ROUND((D14-C14+1)*IF(ISNUMBER(E14),E14,1),0),"Fel datum"),"")</f>
        <v/>
      </c>
      <c r="G14" s="92"/>
      <c r="H14" s="92"/>
      <c r="I14" s="61">
        <f t="shared" ref="I14:I25" ca="1" si="1">IF(AND(ISNUMBER(C14),ISNUMBER(D14)),IF(D14&gt;=C14,MAX(0,MIN(D14,TODAY())-C14+1)*IF(ISNUMBER(E14),E14,1),0),0)</f>
        <v>0</v>
      </c>
    </row>
    <row r="15" spans="2:9" ht="18" customHeight="1" x14ac:dyDescent="0.2">
      <c r="B15" s="34"/>
      <c r="C15" s="56"/>
      <c r="D15" s="56"/>
      <c r="E15" s="57"/>
      <c r="F15" s="60" t="str">
        <f t="shared" si="0"/>
        <v/>
      </c>
      <c r="G15" s="92"/>
      <c r="H15" s="92"/>
      <c r="I15" s="61">
        <f t="shared" ca="1" si="1"/>
        <v>0</v>
      </c>
    </row>
    <row r="16" spans="2:9" ht="18" customHeight="1" x14ac:dyDescent="0.2">
      <c r="B16" s="34"/>
      <c r="C16" s="56"/>
      <c r="D16" s="56"/>
      <c r="E16" s="57"/>
      <c r="F16" s="60" t="str">
        <f t="shared" si="0"/>
        <v/>
      </c>
      <c r="G16" s="92"/>
      <c r="H16" s="92"/>
      <c r="I16" s="61">
        <f t="shared" ca="1" si="1"/>
        <v>0</v>
      </c>
    </row>
    <row r="17" spans="2:9" ht="18" customHeight="1" x14ac:dyDescent="0.2">
      <c r="B17" s="34"/>
      <c r="C17" s="56"/>
      <c r="D17" s="56"/>
      <c r="E17" s="57"/>
      <c r="F17" s="60" t="str">
        <f t="shared" si="0"/>
        <v/>
      </c>
      <c r="G17" s="92"/>
      <c r="H17" s="92"/>
      <c r="I17" s="61">
        <f t="shared" ca="1" si="1"/>
        <v>0</v>
      </c>
    </row>
    <row r="18" spans="2:9" ht="18" customHeight="1" x14ac:dyDescent="0.2">
      <c r="B18" s="34"/>
      <c r="C18" s="56"/>
      <c r="D18" s="56"/>
      <c r="E18" s="57"/>
      <c r="F18" s="60" t="str">
        <f t="shared" si="0"/>
        <v/>
      </c>
      <c r="G18" s="92"/>
      <c r="H18" s="92"/>
      <c r="I18" s="61">
        <f t="shared" ca="1" si="1"/>
        <v>0</v>
      </c>
    </row>
    <row r="19" spans="2:9" ht="18" customHeight="1" x14ac:dyDescent="0.2">
      <c r="B19" s="34"/>
      <c r="C19" s="56"/>
      <c r="D19" s="56"/>
      <c r="E19" s="57"/>
      <c r="F19" s="60" t="str">
        <f t="shared" si="0"/>
        <v/>
      </c>
      <c r="G19" s="92"/>
      <c r="H19" s="92"/>
      <c r="I19" s="61">
        <f t="shared" ca="1" si="1"/>
        <v>0</v>
      </c>
    </row>
    <row r="20" spans="2:9" ht="18" customHeight="1" x14ac:dyDescent="0.2">
      <c r="B20" s="34"/>
      <c r="C20" s="56"/>
      <c r="D20" s="56"/>
      <c r="E20" s="57"/>
      <c r="F20" s="60" t="str">
        <f t="shared" si="0"/>
        <v/>
      </c>
      <c r="G20" s="92"/>
      <c r="H20" s="92"/>
      <c r="I20" s="61">
        <f t="shared" ca="1" si="1"/>
        <v>0</v>
      </c>
    </row>
    <row r="21" spans="2:9" ht="18" customHeight="1" x14ac:dyDescent="0.2">
      <c r="B21" s="34"/>
      <c r="C21" s="56"/>
      <c r="D21" s="56"/>
      <c r="E21" s="57"/>
      <c r="F21" s="60" t="str">
        <f t="shared" si="0"/>
        <v/>
      </c>
      <c r="G21" s="92"/>
      <c r="H21" s="92"/>
      <c r="I21" s="61">
        <f t="shared" ca="1" si="1"/>
        <v>0</v>
      </c>
    </row>
    <row r="22" spans="2:9" ht="18" customHeight="1" x14ac:dyDescent="0.2">
      <c r="B22" s="34"/>
      <c r="C22" s="56"/>
      <c r="D22" s="56"/>
      <c r="E22" s="57"/>
      <c r="F22" s="60" t="str">
        <f t="shared" si="0"/>
        <v/>
      </c>
      <c r="G22" s="92"/>
      <c r="H22" s="92"/>
      <c r="I22" s="61">
        <f t="shared" ca="1" si="1"/>
        <v>0</v>
      </c>
    </row>
    <row r="23" spans="2:9" ht="18" customHeight="1" x14ac:dyDescent="0.2">
      <c r="B23" s="34"/>
      <c r="C23" s="56"/>
      <c r="D23" s="56"/>
      <c r="E23" s="57"/>
      <c r="F23" s="60" t="str">
        <f t="shared" si="0"/>
        <v/>
      </c>
      <c r="G23" s="92"/>
      <c r="H23" s="92"/>
      <c r="I23" s="61">
        <f t="shared" ca="1" si="1"/>
        <v>0</v>
      </c>
    </row>
    <row r="24" spans="2:9" ht="18" customHeight="1" x14ac:dyDescent="0.2">
      <c r="B24" s="34"/>
      <c r="C24" s="56"/>
      <c r="D24" s="56"/>
      <c r="E24" s="57"/>
      <c r="F24" s="60" t="str">
        <f t="shared" si="0"/>
        <v/>
      </c>
      <c r="G24" s="92"/>
      <c r="H24" s="92"/>
      <c r="I24" s="61">
        <f t="shared" ca="1" si="1"/>
        <v>0</v>
      </c>
    </row>
    <row r="25" spans="2:9" ht="18" customHeight="1" x14ac:dyDescent="0.2">
      <c r="B25" s="34"/>
      <c r="C25" s="56"/>
      <c r="D25" s="56"/>
      <c r="E25" s="57"/>
      <c r="F25" s="60" t="str">
        <f t="shared" si="0"/>
        <v/>
      </c>
      <c r="G25" s="92"/>
      <c r="H25" s="92"/>
      <c r="I25" s="61">
        <f t="shared" ca="1" si="1"/>
        <v>0</v>
      </c>
    </row>
    <row r="26" spans="2:9" ht="22" customHeight="1" x14ac:dyDescent="0.2">
      <c r="B26" s="27" t="s">
        <v>1214</v>
      </c>
      <c r="C26" s="27"/>
      <c r="D26" s="27"/>
      <c r="E26" s="27"/>
      <c r="F26" s="64">
        <f>SUM(F14:F25)</f>
        <v>0</v>
      </c>
      <c r="G26" s="94"/>
      <c r="H26" s="94"/>
      <c r="I26" s="61">
        <f ca="1">SUM(I14:I25)</f>
        <v>0</v>
      </c>
    </row>
    <row r="28" spans="2:9" ht="16.25" customHeight="1" x14ac:dyDescent="0.2">
      <c r="B28" s="80" t="s">
        <v>1215</v>
      </c>
      <c r="C28" s="80"/>
      <c r="D28" s="80"/>
      <c r="E28" s="80"/>
      <c r="F28" s="80"/>
      <c r="G28" s="80"/>
      <c r="H28" s="80"/>
    </row>
    <row r="29" spans="2:9" ht="30" customHeight="1" x14ac:dyDescent="0.2">
      <c r="B29" s="83" t="s">
        <v>1216</v>
      </c>
      <c r="C29" s="83"/>
      <c r="D29" s="83"/>
      <c r="E29" s="83"/>
      <c r="F29" s="83"/>
      <c r="G29" s="83"/>
      <c r="H29" s="83"/>
    </row>
    <row r="30" spans="2:9" ht="22" customHeight="1" x14ac:dyDescent="0.2">
      <c r="B30" s="17" t="s">
        <v>1217</v>
      </c>
      <c r="C30" s="17" t="s">
        <v>1218</v>
      </c>
      <c r="D30" s="17" t="s">
        <v>1219</v>
      </c>
      <c r="E30" s="17" t="s">
        <v>1220</v>
      </c>
      <c r="F30" s="17" t="s">
        <v>249</v>
      </c>
      <c r="G30" s="17" t="s">
        <v>1221</v>
      </c>
      <c r="H30" s="17" t="s">
        <v>37</v>
      </c>
    </row>
    <row r="31" spans="2:9" ht="24" customHeight="1" x14ac:dyDescent="0.2">
      <c r="B31" s="3" t="s">
        <v>1222</v>
      </c>
      <c r="C31" s="63">
        <f>SUMIF($B$34:$B$93,C$30,$E$34:$E$93)</f>
        <v>0</v>
      </c>
      <c r="D31" s="63">
        <f>SUMIF($B$34:$B$93,D$30,$E$34:$E$93)</f>
        <v>0</v>
      </c>
      <c r="E31" s="63">
        <f>SUMIF($B$34:$B$93,E$30,$E$34:$E$93)</f>
        <v>0</v>
      </c>
      <c r="F31" s="63">
        <f>SUMIF($B$34:$B$93,F$30,$E$34:$E$93)</f>
        <v>0</v>
      </c>
      <c r="G31" s="63">
        <f>SUMIF($B$34:$B$93,G$30,$E$34:$E$93)</f>
        <v>0</v>
      </c>
      <c r="H31" s="65">
        <f>SUM(C31:G31)</f>
        <v>0</v>
      </c>
    </row>
    <row r="33" spans="2:8" ht="22" customHeight="1" x14ac:dyDescent="0.2">
      <c r="B33" s="17" t="s">
        <v>50</v>
      </c>
      <c r="C33" s="17" t="s">
        <v>1210</v>
      </c>
      <c r="D33" s="17" t="s">
        <v>1211</v>
      </c>
      <c r="E33" s="17" t="s">
        <v>1222</v>
      </c>
      <c r="F33" s="93" t="s">
        <v>69</v>
      </c>
      <c r="G33" s="93"/>
      <c r="H33" s="93"/>
    </row>
    <row r="34" spans="2:8" ht="18" customHeight="1" x14ac:dyDescent="0.2">
      <c r="B34" s="34"/>
      <c r="C34" s="56"/>
      <c r="D34" s="56"/>
      <c r="E34" s="59" t="str">
        <f t="shared" ref="E34:E65" si="2">IF(AND(ISNUMBER(C34),ISNUMBER(D34)),IF(D34&gt;=C34,ROUND((D34-C34+1)/7,1),"Fel datum"),"")</f>
        <v/>
      </c>
      <c r="F34" s="92"/>
      <c r="G34" s="92"/>
      <c r="H34" s="92"/>
    </row>
    <row r="35" spans="2:8" ht="18" customHeight="1" x14ac:dyDescent="0.2">
      <c r="B35" s="34"/>
      <c r="C35" s="56"/>
      <c r="D35" s="56"/>
      <c r="E35" s="59" t="str">
        <f t="shared" si="2"/>
        <v/>
      </c>
      <c r="F35" s="92"/>
      <c r="G35" s="92"/>
      <c r="H35" s="92"/>
    </row>
    <row r="36" spans="2:8" ht="18" customHeight="1" x14ac:dyDescent="0.2">
      <c r="B36" s="34"/>
      <c r="C36" s="56"/>
      <c r="D36" s="56"/>
      <c r="E36" s="59" t="str">
        <f t="shared" si="2"/>
        <v/>
      </c>
      <c r="F36" s="92"/>
      <c r="G36" s="92"/>
      <c r="H36" s="92"/>
    </row>
    <row r="37" spans="2:8" ht="18" customHeight="1" x14ac:dyDescent="0.2">
      <c r="B37" s="34"/>
      <c r="C37" s="56"/>
      <c r="D37" s="56"/>
      <c r="E37" s="59" t="str">
        <f t="shared" si="2"/>
        <v/>
      </c>
      <c r="F37" s="92"/>
      <c r="G37" s="92"/>
      <c r="H37" s="92"/>
    </row>
    <row r="38" spans="2:8" ht="18" customHeight="1" x14ac:dyDescent="0.2">
      <c r="B38" s="34"/>
      <c r="C38" s="56"/>
      <c r="D38" s="56"/>
      <c r="E38" s="59" t="str">
        <f t="shared" si="2"/>
        <v/>
      </c>
      <c r="F38" s="92"/>
      <c r="G38" s="92"/>
      <c r="H38" s="92"/>
    </row>
    <row r="39" spans="2:8" ht="18" customHeight="1" x14ac:dyDescent="0.2">
      <c r="B39" s="34"/>
      <c r="C39" s="56"/>
      <c r="D39" s="56"/>
      <c r="E39" s="59" t="str">
        <f t="shared" si="2"/>
        <v/>
      </c>
      <c r="F39" s="92"/>
      <c r="G39" s="92"/>
      <c r="H39" s="92"/>
    </row>
    <row r="40" spans="2:8" ht="18" customHeight="1" x14ac:dyDescent="0.2">
      <c r="B40" s="34"/>
      <c r="C40" s="56"/>
      <c r="D40" s="56"/>
      <c r="E40" s="59" t="str">
        <f t="shared" si="2"/>
        <v/>
      </c>
      <c r="F40" s="92"/>
      <c r="G40" s="92"/>
      <c r="H40" s="92"/>
    </row>
    <row r="41" spans="2:8" ht="18" customHeight="1" x14ac:dyDescent="0.2">
      <c r="B41" s="34"/>
      <c r="C41" s="56"/>
      <c r="D41" s="56"/>
      <c r="E41" s="59" t="str">
        <f t="shared" si="2"/>
        <v/>
      </c>
      <c r="F41" s="92"/>
      <c r="G41" s="92"/>
      <c r="H41" s="92"/>
    </row>
    <row r="42" spans="2:8" ht="18" customHeight="1" x14ac:dyDescent="0.2">
      <c r="B42" s="34"/>
      <c r="C42" s="56"/>
      <c r="D42" s="56"/>
      <c r="E42" s="59" t="str">
        <f t="shared" si="2"/>
        <v/>
      </c>
      <c r="F42" s="92"/>
      <c r="G42" s="92"/>
      <c r="H42" s="92"/>
    </row>
    <row r="43" spans="2:8" ht="18" customHeight="1" x14ac:dyDescent="0.2">
      <c r="B43" s="34"/>
      <c r="C43" s="56"/>
      <c r="D43" s="56"/>
      <c r="E43" s="59" t="str">
        <f t="shared" si="2"/>
        <v/>
      </c>
      <c r="F43" s="92"/>
      <c r="G43" s="92"/>
      <c r="H43" s="92"/>
    </row>
    <row r="44" spans="2:8" ht="18" customHeight="1" x14ac:dyDescent="0.2">
      <c r="B44" s="34"/>
      <c r="C44" s="56"/>
      <c r="D44" s="56"/>
      <c r="E44" s="59" t="str">
        <f t="shared" si="2"/>
        <v/>
      </c>
      <c r="F44" s="92"/>
      <c r="G44" s="92"/>
      <c r="H44" s="92"/>
    </row>
    <row r="45" spans="2:8" ht="18" customHeight="1" x14ac:dyDescent="0.2">
      <c r="B45" s="34"/>
      <c r="C45" s="56"/>
      <c r="D45" s="56"/>
      <c r="E45" s="59" t="str">
        <f t="shared" si="2"/>
        <v/>
      </c>
      <c r="F45" s="92"/>
      <c r="G45" s="92"/>
      <c r="H45" s="92"/>
    </row>
    <row r="46" spans="2:8" ht="18" customHeight="1" x14ac:dyDescent="0.2">
      <c r="B46" s="34"/>
      <c r="C46" s="56"/>
      <c r="D46" s="56"/>
      <c r="E46" s="59" t="str">
        <f t="shared" si="2"/>
        <v/>
      </c>
      <c r="F46" s="92"/>
      <c r="G46" s="92"/>
      <c r="H46" s="92"/>
    </row>
    <row r="47" spans="2:8" ht="18" customHeight="1" x14ac:dyDescent="0.2">
      <c r="B47" s="34"/>
      <c r="C47" s="56"/>
      <c r="D47" s="56"/>
      <c r="E47" s="59" t="str">
        <f t="shared" si="2"/>
        <v/>
      </c>
      <c r="F47" s="92"/>
      <c r="G47" s="92"/>
      <c r="H47" s="92"/>
    </row>
    <row r="48" spans="2:8" ht="18" customHeight="1" x14ac:dyDescent="0.2">
      <c r="B48" s="34"/>
      <c r="C48" s="56"/>
      <c r="D48" s="56"/>
      <c r="E48" s="59" t="str">
        <f t="shared" si="2"/>
        <v/>
      </c>
      <c r="F48" s="92"/>
      <c r="G48" s="92"/>
      <c r="H48" s="92"/>
    </row>
    <row r="49" spans="2:8" ht="18" customHeight="1" x14ac:dyDescent="0.2">
      <c r="B49" s="34"/>
      <c r="C49" s="56"/>
      <c r="D49" s="56"/>
      <c r="E49" s="59" t="str">
        <f t="shared" si="2"/>
        <v/>
      </c>
      <c r="F49" s="92"/>
      <c r="G49" s="92"/>
      <c r="H49" s="92"/>
    </row>
    <row r="50" spans="2:8" ht="18" customHeight="1" x14ac:dyDescent="0.2">
      <c r="B50" s="34"/>
      <c r="C50" s="56"/>
      <c r="D50" s="56"/>
      <c r="E50" s="59" t="str">
        <f t="shared" si="2"/>
        <v/>
      </c>
      <c r="F50" s="92"/>
      <c r="G50" s="92"/>
      <c r="H50" s="92"/>
    </row>
    <row r="51" spans="2:8" ht="18" customHeight="1" x14ac:dyDescent="0.2">
      <c r="B51" s="34"/>
      <c r="C51" s="56"/>
      <c r="D51" s="56"/>
      <c r="E51" s="59" t="str">
        <f t="shared" si="2"/>
        <v/>
      </c>
      <c r="F51" s="92"/>
      <c r="G51" s="92"/>
      <c r="H51" s="92"/>
    </row>
    <row r="52" spans="2:8" ht="18" customHeight="1" x14ac:dyDescent="0.2">
      <c r="B52" s="34"/>
      <c r="C52" s="56"/>
      <c r="D52" s="56"/>
      <c r="E52" s="59" t="str">
        <f t="shared" si="2"/>
        <v/>
      </c>
      <c r="F52" s="92"/>
      <c r="G52" s="92"/>
      <c r="H52" s="92"/>
    </row>
    <row r="53" spans="2:8" ht="18" customHeight="1" x14ac:dyDescent="0.2">
      <c r="B53" s="34"/>
      <c r="C53" s="56"/>
      <c r="D53" s="56"/>
      <c r="E53" s="59" t="str">
        <f t="shared" si="2"/>
        <v/>
      </c>
      <c r="F53" s="92"/>
      <c r="G53" s="92"/>
      <c r="H53" s="92"/>
    </row>
    <row r="54" spans="2:8" ht="18" customHeight="1" x14ac:dyDescent="0.2">
      <c r="B54" s="34"/>
      <c r="C54" s="56"/>
      <c r="D54" s="56"/>
      <c r="E54" s="59" t="str">
        <f t="shared" si="2"/>
        <v/>
      </c>
      <c r="F54" s="92"/>
      <c r="G54" s="92"/>
      <c r="H54" s="92"/>
    </row>
    <row r="55" spans="2:8" ht="18" customHeight="1" x14ac:dyDescent="0.2">
      <c r="B55" s="34"/>
      <c r="C55" s="56"/>
      <c r="D55" s="56"/>
      <c r="E55" s="59" t="str">
        <f t="shared" si="2"/>
        <v/>
      </c>
      <c r="F55" s="92"/>
      <c r="G55" s="92"/>
      <c r="H55" s="92"/>
    </row>
    <row r="56" spans="2:8" ht="18" customHeight="1" x14ac:dyDescent="0.2">
      <c r="B56" s="34"/>
      <c r="C56" s="56"/>
      <c r="D56" s="56"/>
      <c r="E56" s="59" t="str">
        <f t="shared" si="2"/>
        <v/>
      </c>
      <c r="F56" s="92"/>
      <c r="G56" s="92"/>
      <c r="H56" s="92"/>
    </row>
    <row r="57" spans="2:8" ht="18" customHeight="1" x14ac:dyDescent="0.2">
      <c r="B57" s="34"/>
      <c r="C57" s="56"/>
      <c r="D57" s="56"/>
      <c r="E57" s="59" t="str">
        <f t="shared" si="2"/>
        <v/>
      </c>
      <c r="F57" s="92"/>
      <c r="G57" s="92"/>
      <c r="H57" s="92"/>
    </row>
    <row r="58" spans="2:8" ht="18" customHeight="1" x14ac:dyDescent="0.2">
      <c r="B58" s="34"/>
      <c r="C58" s="56"/>
      <c r="D58" s="56"/>
      <c r="E58" s="59" t="str">
        <f t="shared" si="2"/>
        <v/>
      </c>
      <c r="F58" s="92"/>
      <c r="G58" s="92"/>
      <c r="H58" s="92"/>
    </row>
    <row r="59" spans="2:8" ht="18" customHeight="1" x14ac:dyDescent="0.2">
      <c r="B59" s="34"/>
      <c r="C59" s="56"/>
      <c r="D59" s="56"/>
      <c r="E59" s="59" t="str">
        <f t="shared" si="2"/>
        <v/>
      </c>
      <c r="F59" s="92"/>
      <c r="G59" s="92"/>
      <c r="H59" s="92"/>
    </row>
    <row r="60" spans="2:8" ht="18" customHeight="1" x14ac:dyDescent="0.2">
      <c r="B60" s="34"/>
      <c r="C60" s="56"/>
      <c r="D60" s="56"/>
      <c r="E60" s="59" t="str">
        <f t="shared" si="2"/>
        <v/>
      </c>
      <c r="F60" s="92"/>
      <c r="G60" s="92"/>
      <c r="H60" s="92"/>
    </row>
    <row r="61" spans="2:8" ht="18" customHeight="1" x14ac:dyDescent="0.2">
      <c r="B61" s="34"/>
      <c r="C61" s="56"/>
      <c r="D61" s="56"/>
      <c r="E61" s="59" t="str">
        <f t="shared" si="2"/>
        <v/>
      </c>
      <c r="F61" s="92"/>
      <c r="G61" s="92"/>
      <c r="H61" s="92"/>
    </row>
    <row r="62" spans="2:8" ht="18" customHeight="1" x14ac:dyDescent="0.2">
      <c r="B62" s="34"/>
      <c r="C62" s="56"/>
      <c r="D62" s="56"/>
      <c r="E62" s="59" t="str">
        <f t="shared" si="2"/>
        <v/>
      </c>
      <c r="F62" s="92"/>
      <c r="G62" s="92"/>
      <c r="H62" s="92"/>
    </row>
    <row r="63" spans="2:8" ht="18" customHeight="1" x14ac:dyDescent="0.2">
      <c r="B63" s="34"/>
      <c r="C63" s="56"/>
      <c r="D63" s="56"/>
      <c r="E63" s="59" t="str">
        <f t="shared" si="2"/>
        <v/>
      </c>
      <c r="F63" s="92"/>
      <c r="G63" s="92"/>
      <c r="H63" s="92"/>
    </row>
    <row r="64" spans="2:8" ht="18" customHeight="1" x14ac:dyDescent="0.2">
      <c r="B64" s="34"/>
      <c r="C64" s="56"/>
      <c r="D64" s="56"/>
      <c r="E64" s="59" t="str">
        <f t="shared" si="2"/>
        <v/>
      </c>
      <c r="F64" s="92"/>
      <c r="G64" s="92"/>
      <c r="H64" s="92"/>
    </row>
    <row r="65" spans="2:8" ht="18" customHeight="1" x14ac:dyDescent="0.2">
      <c r="B65" s="34"/>
      <c r="C65" s="56"/>
      <c r="D65" s="56"/>
      <c r="E65" s="59" t="str">
        <f t="shared" si="2"/>
        <v/>
      </c>
      <c r="F65" s="92"/>
      <c r="G65" s="92"/>
      <c r="H65" s="92"/>
    </row>
    <row r="66" spans="2:8" ht="18" customHeight="1" x14ac:dyDescent="0.2">
      <c r="B66" s="34"/>
      <c r="C66" s="56"/>
      <c r="D66" s="56"/>
      <c r="E66" s="59" t="str">
        <f t="shared" ref="E66:E93" si="3">IF(AND(ISNUMBER(C66),ISNUMBER(D66)),IF(D66&gt;=C66,ROUND((D66-C66+1)/7,1),"Fel datum"),"")</f>
        <v/>
      </c>
      <c r="F66" s="92"/>
      <c r="G66" s="92"/>
      <c r="H66" s="92"/>
    </row>
    <row r="67" spans="2:8" ht="18" customHeight="1" x14ac:dyDescent="0.2">
      <c r="B67" s="34"/>
      <c r="C67" s="56"/>
      <c r="D67" s="56"/>
      <c r="E67" s="59" t="str">
        <f t="shared" si="3"/>
        <v/>
      </c>
      <c r="F67" s="92"/>
      <c r="G67" s="92"/>
      <c r="H67" s="92"/>
    </row>
    <row r="68" spans="2:8" ht="18" customHeight="1" x14ac:dyDescent="0.2">
      <c r="B68" s="34"/>
      <c r="C68" s="56"/>
      <c r="D68" s="56"/>
      <c r="E68" s="59" t="str">
        <f t="shared" si="3"/>
        <v/>
      </c>
      <c r="F68" s="92"/>
      <c r="G68" s="92"/>
      <c r="H68" s="92"/>
    </row>
    <row r="69" spans="2:8" ht="18" customHeight="1" x14ac:dyDescent="0.2">
      <c r="B69" s="34"/>
      <c r="C69" s="56"/>
      <c r="D69" s="56"/>
      <c r="E69" s="59" t="str">
        <f t="shared" si="3"/>
        <v/>
      </c>
      <c r="F69" s="92"/>
      <c r="G69" s="92"/>
      <c r="H69" s="92"/>
    </row>
    <row r="70" spans="2:8" ht="18" customHeight="1" x14ac:dyDescent="0.2">
      <c r="B70" s="34"/>
      <c r="C70" s="56"/>
      <c r="D70" s="56"/>
      <c r="E70" s="59" t="str">
        <f t="shared" si="3"/>
        <v/>
      </c>
      <c r="F70" s="92"/>
      <c r="G70" s="92"/>
      <c r="H70" s="92"/>
    </row>
    <row r="71" spans="2:8" ht="18" customHeight="1" x14ac:dyDescent="0.2">
      <c r="B71" s="34"/>
      <c r="C71" s="56"/>
      <c r="D71" s="56"/>
      <c r="E71" s="59" t="str">
        <f t="shared" si="3"/>
        <v/>
      </c>
      <c r="F71" s="92"/>
      <c r="G71" s="92"/>
      <c r="H71" s="92"/>
    </row>
    <row r="72" spans="2:8" ht="18" customHeight="1" x14ac:dyDescent="0.2">
      <c r="B72" s="34"/>
      <c r="C72" s="56"/>
      <c r="D72" s="56"/>
      <c r="E72" s="59" t="str">
        <f t="shared" si="3"/>
        <v/>
      </c>
      <c r="F72" s="92"/>
      <c r="G72" s="92"/>
      <c r="H72" s="92"/>
    </row>
    <row r="73" spans="2:8" ht="18" customHeight="1" x14ac:dyDescent="0.2">
      <c r="B73" s="34"/>
      <c r="C73" s="56"/>
      <c r="D73" s="56"/>
      <c r="E73" s="59" t="str">
        <f t="shared" si="3"/>
        <v/>
      </c>
      <c r="F73" s="92"/>
      <c r="G73" s="92"/>
      <c r="H73" s="92"/>
    </row>
    <row r="74" spans="2:8" ht="18" customHeight="1" x14ac:dyDescent="0.2">
      <c r="B74" s="34"/>
      <c r="C74" s="56"/>
      <c r="D74" s="56"/>
      <c r="E74" s="59" t="str">
        <f t="shared" si="3"/>
        <v/>
      </c>
      <c r="F74" s="92"/>
      <c r="G74" s="92"/>
      <c r="H74" s="92"/>
    </row>
    <row r="75" spans="2:8" ht="18" customHeight="1" x14ac:dyDescent="0.2">
      <c r="B75" s="34"/>
      <c r="C75" s="56"/>
      <c r="D75" s="56"/>
      <c r="E75" s="59" t="str">
        <f t="shared" si="3"/>
        <v/>
      </c>
      <c r="F75" s="92"/>
      <c r="G75" s="92"/>
      <c r="H75" s="92"/>
    </row>
    <row r="76" spans="2:8" ht="18" customHeight="1" x14ac:dyDescent="0.2">
      <c r="B76" s="34"/>
      <c r="C76" s="56"/>
      <c r="D76" s="56"/>
      <c r="E76" s="59" t="str">
        <f t="shared" si="3"/>
        <v/>
      </c>
      <c r="F76" s="92"/>
      <c r="G76" s="92"/>
      <c r="H76" s="92"/>
    </row>
    <row r="77" spans="2:8" ht="18" customHeight="1" x14ac:dyDescent="0.2">
      <c r="B77" s="34"/>
      <c r="C77" s="56"/>
      <c r="D77" s="56"/>
      <c r="E77" s="59" t="str">
        <f t="shared" si="3"/>
        <v/>
      </c>
      <c r="F77" s="92"/>
      <c r="G77" s="92"/>
      <c r="H77" s="92"/>
    </row>
    <row r="78" spans="2:8" ht="18" customHeight="1" x14ac:dyDescent="0.2">
      <c r="B78" s="34"/>
      <c r="C78" s="56"/>
      <c r="D78" s="56"/>
      <c r="E78" s="59" t="str">
        <f t="shared" si="3"/>
        <v/>
      </c>
      <c r="F78" s="92"/>
      <c r="G78" s="92"/>
      <c r="H78" s="92"/>
    </row>
    <row r="79" spans="2:8" ht="18" customHeight="1" x14ac:dyDescent="0.2">
      <c r="B79" s="34"/>
      <c r="C79" s="56"/>
      <c r="D79" s="56"/>
      <c r="E79" s="59" t="str">
        <f t="shared" si="3"/>
        <v/>
      </c>
      <c r="F79" s="92"/>
      <c r="G79" s="92"/>
      <c r="H79" s="92"/>
    </row>
    <row r="80" spans="2:8" ht="18" customHeight="1" x14ac:dyDescent="0.2">
      <c r="B80" s="34"/>
      <c r="C80" s="56"/>
      <c r="D80" s="56"/>
      <c r="E80" s="59" t="str">
        <f t="shared" si="3"/>
        <v/>
      </c>
      <c r="F80" s="92"/>
      <c r="G80" s="92"/>
      <c r="H80" s="92"/>
    </row>
    <row r="81" spans="2:8" ht="18" customHeight="1" x14ac:dyDescent="0.2">
      <c r="B81" s="34"/>
      <c r="C81" s="56"/>
      <c r="D81" s="56"/>
      <c r="E81" s="59" t="str">
        <f t="shared" si="3"/>
        <v/>
      </c>
      <c r="F81" s="92"/>
      <c r="G81" s="92"/>
      <c r="H81" s="92"/>
    </row>
    <row r="82" spans="2:8" ht="18" customHeight="1" x14ac:dyDescent="0.2">
      <c r="B82" s="34"/>
      <c r="C82" s="56"/>
      <c r="D82" s="56"/>
      <c r="E82" s="59" t="str">
        <f t="shared" si="3"/>
        <v/>
      </c>
      <c r="F82" s="92"/>
      <c r="G82" s="92"/>
      <c r="H82" s="92"/>
    </row>
    <row r="83" spans="2:8" ht="18" customHeight="1" x14ac:dyDescent="0.2">
      <c r="B83" s="34"/>
      <c r="C83" s="56"/>
      <c r="D83" s="56"/>
      <c r="E83" s="59" t="str">
        <f t="shared" si="3"/>
        <v/>
      </c>
      <c r="F83" s="92"/>
      <c r="G83" s="92"/>
      <c r="H83" s="92"/>
    </row>
    <row r="84" spans="2:8" ht="18" customHeight="1" x14ac:dyDescent="0.2">
      <c r="B84" s="34"/>
      <c r="C84" s="56"/>
      <c r="D84" s="56"/>
      <c r="E84" s="59" t="str">
        <f t="shared" si="3"/>
        <v/>
      </c>
      <c r="F84" s="92"/>
      <c r="G84" s="92"/>
      <c r="H84" s="92"/>
    </row>
    <row r="85" spans="2:8" ht="18" customHeight="1" x14ac:dyDescent="0.2">
      <c r="B85" s="34"/>
      <c r="C85" s="56"/>
      <c r="D85" s="56"/>
      <c r="E85" s="59" t="str">
        <f t="shared" si="3"/>
        <v/>
      </c>
      <c r="F85" s="92"/>
      <c r="G85" s="92"/>
      <c r="H85" s="92"/>
    </row>
    <row r="86" spans="2:8" ht="18" customHeight="1" x14ac:dyDescent="0.2">
      <c r="B86" s="34"/>
      <c r="C86" s="56"/>
      <c r="D86" s="56"/>
      <c r="E86" s="59" t="str">
        <f t="shared" si="3"/>
        <v/>
      </c>
      <c r="F86" s="92"/>
      <c r="G86" s="92"/>
      <c r="H86" s="92"/>
    </row>
    <row r="87" spans="2:8" ht="18" customHeight="1" x14ac:dyDescent="0.2">
      <c r="B87" s="34"/>
      <c r="C87" s="56"/>
      <c r="D87" s="56"/>
      <c r="E87" s="59" t="str">
        <f t="shared" si="3"/>
        <v/>
      </c>
      <c r="F87" s="92"/>
      <c r="G87" s="92"/>
      <c r="H87" s="92"/>
    </row>
    <row r="88" spans="2:8" ht="18" customHeight="1" x14ac:dyDescent="0.2">
      <c r="B88" s="34"/>
      <c r="C88" s="56"/>
      <c r="D88" s="56"/>
      <c r="E88" s="59" t="str">
        <f t="shared" si="3"/>
        <v/>
      </c>
      <c r="F88" s="92"/>
      <c r="G88" s="92"/>
      <c r="H88" s="92"/>
    </row>
    <row r="89" spans="2:8" ht="18" customHeight="1" x14ac:dyDescent="0.2">
      <c r="B89" s="34"/>
      <c r="C89" s="56"/>
      <c r="D89" s="56"/>
      <c r="E89" s="59" t="str">
        <f t="shared" si="3"/>
        <v/>
      </c>
      <c r="F89" s="92"/>
      <c r="G89" s="92"/>
      <c r="H89" s="92"/>
    </row>
    <row r="90" spans="2:8" ht="18" customHeight="1" x14ac:dyDescent="0.2">
      <c r="B90" s="34"/>
      <c r="C90" s="56"/>
      <c r="D90" s="56"/>
      <c r="E90" s="59" t="str">
        <f t="shared" si="3"/>
        <v/>
      </c>
      <c r="F90" s="92"/>
      <c r="G90" s="92"/>
      <c r="H90" s="92"/>
    </row>
    <row r="91" spans="2:8" ht="18" customHeight="1" x14ac:dyDescent="0.2">
      <c r="B91" s="34"/>
      <c r="C91" s="56"/>
      <c r="D91" s="56"/>
      <c r="E91" s="59" t="str">
        <f t="shared" si="3"/>
        <v/>
      </c>
      <c r="F91" s="92"/>
      <c r="G91" s="92"/>
      <c r="H91" s="92"/>
    </row>
    <row r="92" spans="2:8" ht="18" customHeight="1" x14ac:dyDescent="0.2">
      <c r="B92" s="34"/>
      <c r="C92" s="56"/>
      <c r="D92" s="56"/>
      <c r="E92" s="59" t="str">
        <f t="shared" si="3"/>
        <v/>
      </c>
      <c r="F92" s="92"/>
      <c r="G92" s="92"/>
      <c r="H92" s="92"/>
    </row>
    <row r="93" spans="2:8" ht="18" customHeight="1" x14ac:dyDescent="0.2">
      <c r="B93" s="34"/>
      <c r="C93" s="56"/>
      <c r="D93" s="56"/>
      <c r="E93" s="59" t="str">
        <f t="shared" si="3"/>
        <v/>
      </c>
      <c r="F93" s="92"/>
      <c r="G93" s="92"/>
      <c r="H93" s="92"/>
    </row>
  </sheetData>
  <mergeCells count="86">
    <mergeCell ref="B2:H2"/>
    <mergeCell ref="B3:H3"/>
    <mergeCell ref="B5:H5"/>
    <mergeCell ref="D6:H6"/>
    <mergeCell ref="D7:H7"/>
    <mergeCell ref="D8:H8"/>
    <mergeCell ref="D9:H9"/>
    <mergeCell ref="B11:H11"/>
    <mergeCell ref="B12:H12"/>
    <mergeCell ref="G13:H13"/>
    <mergeCell ref="G14:H14"/>
    <mergeCell ref="G15:H15"/>
    <mergeCell ref="G16:H16"/>
    <mergeCell ref="G17:H17"/>
    <mergeCell ref="G18:H18"/>
    <mergeCell ref="G19:H19"/>
    <mergeCell ref="G20:H20"/>
    <mergeCell ref="G21:H21"/>
    <mergeCell ref="G22:H22"/>
    <mergeCell ref="G23:H23"/>
    <mergeCell ref="G24:H24"/>
    <mergeCell ref="G25:H25"/>
    <mergeCell ref="G26:H26"/>
    <mergeCell ref="B28:H28"/>
    <mergeCell ref="B29:H29"/>
    <mergeCell ref="F33:H33"/>
    <mergeCell ref="F34:H34"/>
    <mergeCell ref="F35:H35"/>
    <mergeCell ref="F36:H36"/>
    <mergeCell ref="F37:H37"/>
    <mergeCell ref="F38:H38"/>
    <mergeCell ref="F39:H39"/>
    <mergeCell ref="F40:H40"/>
    <mergeCell ref="F41:H41"/>
    <mergeCell ref="F42:H42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54:H54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66:H66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78:H78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93:H93"/>
    <mergeCell ref="F88:H88"/>
    <mergeCell ref="F89:H89"/>
    <mergeCell ref="F90:H90"/>
    <mergeCell ref="F91:H91"/>
    <mergeCell ref="F92:H92"/>
  </mergeCells>
  <conditionalFormatting sqref="F14:F25">
    <cfRule type="cellIs" dxfId="56" priority="1" operator="equal">
      <formula>"Fel datum"</formula>
    </cfRule>
  </conditionalFormatting>
  <conditionalFormatting sqref="E34:E93">
    <cfRule type="cellIs" dxfId="55" priority="2" operator="equal">
      <formula>"Fel datum"</formula>
    </cfRule>
  </conditionalFormatting>
  <dataValidations count="6">
    <dataValidation type="list" allowBlank="1" showInputMessage="1" showErrorMessage="1" promptTitle="Typ av uppehåll" prompt="Välj i listan." sqref="B14:B25" xr:uid="{00000000-0002-0000-0200-000000000000}">
      <formula1>"Föräldraledighet,Forskning,Tjänstledighet,Sjukskrivning,Deltid,Annat"</formula1>
    </dataValidation>
    <dataValidation type="date" allowBlank="1" showInputMessage="1" showErrorMessage="1" errorTitle="Ogiltigt datum" error="Skriv ett datum, t.ex. 2026-03-01." promptTitle="Datum" prompt="Skriv datum som 2026-03-01. Ctrl+; ger dagens datum." sqref="C14:D25 C34:D93" xr:uid="{00000000-0002-0000-0200-000001000000}">
      <formula1>36526</formula1>
      <formula2>73050</formula2>
    </dataValidation>
    <dataValidation type="decimal" allowBlank="1" showInputMessage="1" showErrorMessage="1" errorTitle="Ogiltig omfattning" error="Ange en procentsats mellan 1 och 100 %." promptTitle="Omfattning" prompt="Andel av heltid som du var ledig, t.ex. 100 % eller 50 %. Tomt = 100 %." sqref="E14:E25" xr:uid="{00000000-0002-0000-0200-000002000000}">
      <formula1>0</formula1>
      <formula2>1</formula2>
    </dataValidation>
    <dataValidation type="decimal" allowBlank="1" showInputMessage="1" showErrorMessage="1" errorTitle="Ogiltig längd" error="Ange antal år mellan 1 och 15." promptTitle="Planerad ST-längd" prompt="Antal år, t.ex. 7,5." sqref="C7" xr:uid="{00000000-0002-0000-0200-000003000000}">
      <formula1>1</formula1>
      <formula2>15</formula2>
    </dataValidation>
    <dataValidation type="list" allowBlank="1" showInputMessage="1" showErrorMessage="1" promptTitle="Placering" prompt="Välj i listan." sqref="B34:B93" xr:uid="{00000000-0002-0000-0200-000004000000}">
      <formula1>"Akuten,Avdelning,HIA,Mottagning,Annat"</formula1>
    </dataValidation>
    <dataValidation type="decimal" allowBlank="1" showInputMessage="1" showErrorMessage="1" errorTitle="Ogiltigt antal" error="Ange antal veckor (0–520)." promptTitle="Veckor" prompt="Räknas ut från datum. Utan datum: skriv antalet veckor här." sqref="E34:E93" xr:uid="{00000000-0002-0000-0200-000006000000}">
      <formula1>0</formula1>
      <formula2>520</formula2>
    </dataValidation>
  </dataValidations>
  <pageMargins left="0.5" right="0.5" top="0.6" bottom="0.6" header="0.3" footer="0.3"/>
  <pageSetup paperSize="9" fitToHeight="0"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2818F9-5B7E-CB49-8EB0-D9A63C855AF5}">
  <sheetPr codeName="Blad3">
    <tabColor rgb="FF2E75B6"/>
  </sheetPr>
  <dimension ref="B2:J97"/>
  <sheetViews>
    <sheetView showGridLines="0" zoomScaleNormal="100" workbookViewId="0">
      <selection activeCell="C29" sqref="C29:G29"/>
    </sheetView>
  </sheetViews>
  <sheetFormatPr baseColWidth="10" defaultColWidth="8.6640625" defaultRowHeight="15" x14ac:dyDescent="0.2"/>
  <cols>
    <col min="1" max="1" width="3" customWidth="1"/>
    <col min="2" max="2" width="4" customWidth="1"/>
    <col min="3" max="3" width="92.5" customWidth="1"/>
    <col min="4" max="4" width="7" customWidth="1"/>
    <col min="5" max="5" width="9" customWidth="1"/>
    <col min="6" max="6" width="9.5" customWidth="1"/>
    <col min="7" max="7" width="13" customWidth="1"/>
    <col min="8" max="8" width="26.1640625" customWidth="1"/>
    <col min="9" max="9" width="18" customWidth="1"/>
    <col min="10" max="10" width="27.5" customWidth="1"/>
    <col min="11" max="11" width="3" customWidth="1"/>
  </cols>
  <sheetData>
    <row r="2" spans="2:10" ht="31.5" customHeight="1" x14ac:dyDescent="0.2">
      <c r="B2" s="78" t="s">
        <v>299</v>
      </c>
      <c r="C2" s="78"/>
      <c r="D2" s="78"/>
      <c r="E2" s="78"/>
      <c r="F2" s="78"/>
      <c r="G2" s="78"/>
      <c r="H2" s="78"/>
      <c r="I2" s="78"/>
      <c r="J2" s="78"/>
    </row>
    <row r="3" spans="2:10" ht="30" customHeight="1" x14ac:dyDescent="0.2">
      <c r="B3" s="79" t="s">
        <v>1309</v>
      </c>
      <c r="C3" s="79"/>
      <c r="D3" s="79"/>
      <c r="E3" s="79"/>
      <c r="F3" s="79"/>
      <c r="G3" s="79"/>
      <c r="H3" s="79"/>
      <c r="I3" s="79"/>
      <c r="J3" s="79"/>
    </row>
    <row r="4" spans="2:10" ht="21.75" customHeight="1" x14ac:dyDescent="0.2">
      <c r="B4" s="96" t="s">
        <v>48</v>
      </c>
      <c r="C4" s="96"/>
      <c r="D4" s="97" t="s">
        <v>49</v>
      </c>
      <c r="E4" s="97"/>
      <c r="F4" s="97"/>
      <c r="G4" s="97"/>
      <c r="H4" s="97"/>
      <c r="I4" s="97"/>
      <c r="J4" s="97"/>
    </row>
    <row r="5" spans="2:10" ht="21.75" customHeight="1" x14ac:dyDescent="0.2">
      <c r="B5" s="96" t="s">
        <v>50</v>
      </c>
      <c r="C5" s="96"/>
      <c r="D5" s="97" t="s">
        <v>569</v>
      </c>
      <c r="E5" s="97"/>
      <c r="F5" s="97"/>
      <c r="G5" s="97"/>
      <c r="H5" s="97"/>
      <c r="I5" s="97"/>
      <c r="J5" s="97"/>
    </row>
    <row r="6" spans="2:10" ht="30" customHeight="1" x14ac:dyDescent="0.2">
      <c r="B6" s="96" t="s">
        <v>339</v>
      </c>
      <c r="C6" s="96"/>
      <c r="D6" s="97" t="s">
        <v>568</v>
      </c>
      <c r="E6" s="97"/>
      <c r="F6" s="97"/>
      <c r="G6" s="97"/>
      <c r="H6" s="97"/>
      <c r="I6" s="97"/>
      <c r="J6" s="97"/>
    </row>
    <row r="8" spans="2:10" ht="21.75" customHeight="1" x14ac:dyDescent="0.2">
      <c r="B8" s="98" t="s">
        <v>51</v>
      </c>
      <c r="C8" s="98"/>
      <c r="D8" s="98"/>
      <c r="E8" s="98"/>
      <c r="F8" s="98"/>
      <c r="G8" s="98"/>
      <c r="H8" s="98"/>
      <c r="I8" s="98"/>
      <c r="J8" s="98"/>
    </row>
    <row r="9" spans="2:10" ht="21.75" customHeight="1" x14ac:dyDescent="0.2">
      <c r="B9" s="1"/>
      <c r="C9" s="99" t="s">
        <v>52</v>
      </c>
      <c r="D9" s="99"/>
      <c r="E9" s="99"/>
      <c r="F9" s="99"/>
      <c r="G9" s="99"/>
      <c r="H9" s="1" t="s">
        <v>53</v>
      </c>
      <c r="I9" s="1" t="s">
        <v>41</v>
      </c>
      <c r="J9" s="1" t="s">
        <v>54</v>
      </c>
    </row>
    <row r="10" spans="2:10" ht="27.75" customHeight="1" x14ac:dyDescent="0.2">
      <c r="B10" s="32">
        <v>1</v>
      </c>
      <c r="C10" s="77" t="s">
        <v>55</v>
      </c>
      <c r="D10" s="77"/>
      <c r="E10" s="77"/>
      <c r="F10" s="77"/>
      <c r="G10" s="77"/>
      <c r="H10" s="33"/>
      <c r="I10" s="34"/>
      <c r="J10" s="35"/>
    </row>
    <row r="12" spans="2:10" ht="21.75" customHeight="1" x14ac:dyDescent="0.2">
      <c r="B12" s="98" t="s">
        <v>56</v>
      </c>
      <c r="C12" s="98"/>
      <c r="D12" s="98"/>
      <c r="E12" s="98"/>
      <c r="F12" s="98"/>
      <c r="G12" s="98"/>
      <c r="H12" s="98"/>
      <c r="I12" s="98"/>
      <c r="J12" s="98"/>
    </row>
    <row r="13" spans="2:10" ht="21.75" customHeight="1" x14ac:dyDescent="0.2">
      <c r="B13" s="1"/>
      <c r="C13" s="99" t="s">
        <v>52</v>
      </c>
      <c r="D13" s="99"/>
      <c r="E13" s="99"/>
      <c r="F13" s="99"/>
      <c r="G13" s="99"/>
      <c r="H13" s="1" t="s">
        <v>53</v>
      </c>
      <c r="I13" s="1" t="s">
        <v>41</v>
      </c>
      <c r="J13" s="1" t="s">
        <v>54</v>
      </c>
    </row>
    <row r="14" spans="2:10" ht="27.75" customHeight="1" x14ac:dyDescent="0.2">
      <c r="B14" s="32">
        <v>1</v>
      </c>
      <c r="C14" s="77" t="s">
        <v>57</v>
      </c>
      <c r="D14" s="77"/>
      <c r="E14" s="77"/>
      <c r="F14" s="77"/>
      <c r="G14" s="77"/>
      <c r="H14" s="33"/>
      <c r="I14" s="34"/>
      <c r="J14" s="35"/>
    </row>
    <row r="15" spans="2:10" ht="27.75" customHeight="1" x14ac:dyDescent="0.2">
      <c r="B15" s="32">
        <v>2</v>
      </c>
      <c r="C15" s="77" t="s">
        <v>58</v>
      </c>
      <c r="D15" s="77"/>
      <c r="E15" s="77"/>
      <c r="F15" s="77"/>
      <c r="G15" s="77"/>
      <c r="H15" s="33"/>
      <c r="I15" s="34"/>
      <c r="J15" s="35"/>
    </row>
    <row r="16" spans="2:10" ht="27.75" customHeight="1" x14ac:dyDescent="0.2">
      <c r="B16" s="32">
        <v>3</v>
      </c>
      <c r="C16" s="77" t="s">
        <v>59</v>
      </c>
      <c r="D16" s="77"/>
      <c r="E16" s="77"/>
      <c r="F16" s="77"/>
      <c r="G16" s="77"/>
      <c r="H16" s="33"/>
      <c r="I16" s="34"/>
      <c r="J16" s="35"/>
    </row>
    <row r="17" spans="2:10" ht="27.75" customHeight="1" x14ac:dyDescent="0.2">
      <c r="B17" s="32">
        <v>4</v>
      </c>
      <c r="C17" s="77" t="s">
        <v>60</v>
      </c>
      <c r="D17" s="77"/>
      <c r="E17" s="77"/>
      <c r="F17" s="77"/>
      <c r="G17" s="77"/>
      <c r="H17" s="33"/>
      <c r="I17" s="34"/>
      <c r="J17" s="35"/>
    </row>
    <row r="18" spans="2:10" ht="27.75" customHeight="1" x14ac:dyDescent="0.2">
      <c r="B18" s="32">
        <v>5</v>
      </c>
      <c r="C18" s="77" t="s">
        <v>61</v>
      </c>
      <c r="D18" s="77"/>
      <c r="E18" s="77"/>
      <c r="F18" s="77"/>
      <c r="G18" s="77"/>
      <c r="H18" s="33"/>
      <c r="I18" s="34"/>
      <c r="J18" s="35"/>
    </row>
    <row r="19" spans="2:10" ht="27.75" customHeight="1" x14ac:dyDescent="0.2">
      <c r="B19" s="32">
        <v>6</v>
      </c>
      <c r="C19" s="77" t="s">
        <v>62</v>
      </c>
      <c r="D19" s="77"/>
      <c r="E19" s="77"/>
      <c r="F19" s="77"/>
      <c r="G19" s="77"/>
      <c r="H19" s="33"/>
      <c r="I19" s="34"/>
      <c r="J19" s="35"/>
    </row>
    <row r="20" spans="2:10" ht="27.75" customHeight="1" x14ac:dyDescent="0.2">
      <c r="B20" s="32">
        <v>7</v>
      </c>
      <c r="C20" s="100" t="s">
        <v>308</v>
      </c>
      <c r="D20" s="101"/>
      <c r="E20" s="101"/>
      <c r="F20" s="101"/>
      <c r="G20" s="102"/>
      <c r="H20" s="33"/>
      <c r="I20" s="34"/>
      <c r="J20" s="35"/>
    </row>
    <row r="21" spans="2:10" ht="27.75" customHeight="1" x14ac:dyDescent="0.2">
      <c r="B21" s="32">
        <v>8</v>
      </c>
      <c r="C21" s="77" t="s">
        <v>63</v>
      </c>
      <c r="D21" s="77"/>
      <c r="E21" s="77"/>
      <c r="F21" s="77"/>
      <c r="G21" s="77"/>
      <c r="H21" s="33"/>
      <c r="I21" s="34"/>
      <c r="J21" s="35"/>
    </row>
    <row r="23" spans="2:10" ht="21.75" customHeight="1" x14ac:dyDescent="0.2">
      <c r="B23" s="98" t="s">
        <v>557</v>
      </c>
      <c r="C23" s="98"/>
      <c r="D23" s="98"/>
      <c r="E23" s="98"/>
      <c r="F23" s="98"/>
      <c r="G23" s="98"/>
      <c r="H23" s="98"/>
      <c r="I23" s="98"/>
      <c r="J23" s="98"/>
    </row>
    <row r="24" spans="2:10" ht="21.75" customHeight="1" x14ac:dyDescent="0.2">
      <c r="B24" s="1"/>
      <c r="C24" s="99" t="s">
        <v>340</v>
      </c>
      <c r="D24" s="99"/>
      <c r="E24" s="99"/>
      <c r="F24" s="99"/>
      <c r="G24" s="99"/>
      <c r="H24" s="1" t="s">
        <v>53</v>
      </c>
      <c r="I24" s="1" t="s">
        <v>41</v>
      </c>
      <c r="J24" s="1" t="s">
        <v>54</v>
      </c>
    </row>
    <row r="25" spans="2:10" ht="56" customHeight="1" x14ac:dyDescent="0.2">
      <c r="B25" s="32">
        <v>1</v>
      </c>
      <c r="C25" s="77" t="s">
        <v>1310</v>
      </c>
      <c r="D25" s="77"/>
      <c r="E25" s="77"/>
      <c r="F25" s="77"/>
      <c r="G25" s="77"/>
      <c r="H25" s="33"/>
      <c r="I25" s="34"/>
      <c r="J25" s="35"/>
    </row>
    <row r="26" spans="2:10" ht="56" customHeight="1" x14ac:dyDescent="0.2">
      <c r="B26" s="32">
        <v>2</v>
      </c>
      <c r="C26" s="77" t="s">
        <v>1311</v>
      </c>
      <c r="D26" s="77"/>
      <c r="E26" s="77"/>
      <c r="F26" s="77"/>
      <c r="G26" s="77"/>
      <c r="H26" s="33"/>
      <c r="I26" s="34"/>
      <c r="J26" s="35"/>
    </row>
    <row r="27" spans="2:10" ht="56" customHeight="1" x14ac:dyDescent="0.2">
      <c r="B27" s="32">
        <v>3</v>
      </c>
      <c r="C27" s="77" t="s">
        <v>1312</v>
      </c>
      <c r="D27" s="77"/>
      <c r="E27" s="77"/>
      <c r="F27" s="77"/>
      <c r="G27" s="77"/>
      <c r="H27" s="33"/>
      <c r="I27" s="34"/>
      <c r="J27" s="35"/>
    </row>
    <row r="28" spans="2:10" ht="56" customHeight="1" x14ac:dyDescent="0.2">
      <c r="B28" s="32">
        <v>4</v>
      </c>
      <c r="C28" s="77" t="s">
        <v>1313</v>
      </c>
      <c r="D28" s="77"/>
      <c r="E28" s="77"/>
      <c r="F28" s="77"/>
      <c r="G28" s="77"/>
      <c r="H28" s="33"/>
      <c r="I28" s="34"/>
      <c r="J28" s="35"/>
    </row>
    <row r="29" spans="2:10" ht="56" customHeight="1" x14ac:dyDescent="0.2">
      <c r="B29" s="32">
        <v>5</v>
      </c>
      <c r="C29" s="77" t="s">
        <v>1314</v>
      </c>
      <c r="D29" s="77"/>
      <c r="E29" s="77"/>
      <c r="F29" s="77"/>
      <c r="G29" s="77"/>
      <c r="H29" s="33"/>
      <c r="I29" s="34"/>
      <c r="J29" s="35"/>
    </row>
    <row r="32" spans="2:10" ht="27.75" customHeight="1" x14ac:dyDescent="0.2">
      <c r="B32" s="105" t="s">
        <v>556</v>
      </c>
      <c r="C32" s="105"/>
      <c r="D32" s="105"/>
      <c r="E32" s="105"/>
      <c r="F32" s="105"/>
      <c r="G32" s="105"/>
      <c r="H32" s="105"/>
      <c r="I32" s="105"/>
      <c r="J32" s="105"/>
    </row>
    <row r="33" spans="2:10" ht="31.5" customHeight="1" x14ac:dyDescent="0.2">
      <c r="B33" s="1" t="s">
        <v>64</v>
      </c>
      <c r="C33" s="1" t="s">
        <v>52</v>
      </c>
      <c r="D33" s="1" t="s">
        <v>65</v>
      </c>
      <c r="E33" s="1" t="s">
        <v>66</v>
      </c>
      <c r="F33" s="1" t="s">
        <v>67</v>
      </c>
      <c r="G33" s="1" t="s">
        <v>41</v>
      </c>
      <c r="H33" s="1" t="s">
        <v>68</v>
      </c>
      <c r="I33" s="1" t="s">
        <v>69</v>
      </c>
      <c r="J33" s="1" t="s">
        <v>338</v>
      </c>
    </row>
    <row r="34" spans="2:10" ht="24" customHeight="1" x14ac:dyDescent="0.2">
      <c r="B34" s="75" t="s">
        <v>70</v>
      </c>
      <c r="C34" s="75"/>
      <c r="D34" s="75"/>
      <c r="E34" s="75"/>
      <c r="F34" s="75"/>
      <c r="G34" s="75"/>
      <c r="H34" s="75"/>
      <c r="I34" s="75"/>
      <c r="J34" s="75"/>
    </row>
    <row r="35" spans="2:10" ht="36" customHeight="1" x14ac:dyDescent="0.2">
      <c r="B35" s="32">
        <v>1</v>
      </c>
      <c r="C35" s="2" t="s">
        <v>71</v>
      </c>
      <c r="D35" s="36">
        <v>5</v>
      </c>
      <c r="E35" s="37"/>
      <c r="F35" s="33"/>
      <c r="G35" s="38" t="str">
        <f t="shared" ref="G35:G45" si="0">IF(E35="","❌ Ej påbörjad",IF(E35&gt;D35,"🔵 Överträffad",IF(E35=D35,"🟢 Uppnådd","🟡 Pågående")))</f>
        <v>❌ Ej påbörjad</v>
      </c>
      <c r="H35" s="39" t="s">
        <v>309</v>
      </c>
      <c r="I35" s="35"/>
      <c r="J35" s="40" t="s">
        <v>341</v>
      </c>
    </row>
    <row r="36" spans="2:10" ht="36" customHeight="1" x14ac:dyDescent="0.2">
      <c r="B36" s="32">
        <v>2</v>
      </c>
      <c r="C36" s="2" t="s">
        <v>73</v>
      </c>
      <c r="D36" s="36">
        <v>5</v>
      </c>
      <c r="E36" s="37"/>
      <c r="F36" s="33"/>
      <c r="G36" s="38" t="str">
        <f t="shared" si="0"/>
        <v>❌ Ej påbörjad</v>
      </c>
      <c r="H36" s="39" t="s">
        <v>309</v>
      </c>
      <c r="I36" s="35"/>
      <c r="J36" s="40" t="s">
        <v>342</v>
      </c>
    </row>
    <row r="37" spans="2:10" ht="38" customHeight="1" x14ac:dyDescent="0.2">
      <c r="B37" s="32">
        <v>3</v>
      </c>
      <c r="C37" s="2" t="s">
        <v>74</v>
      </c>
      <c r="D37" s="36">
        <v>5</v>
      </c>
      <c r="E37" s="37"/>
      <c r="F37" s="33"/>
      <c r="G37" s="38" t="str">
        <f t="shared" si="0"/>
        <v>❌ Ej påbörjad</v>
      </c>
      <c r="H37" s="39" t="s">
        <v>309</v>
      </c>
      <c r="I37" s="35"/>
      <c r="J37" s="40" t="s">
        <v>343</v>
      </c>
    </row>
    <row r="38" spans="2:10" ht="36" customHeight="1" x14ac:dyDescent="0.2">
      <c r="B38" s="32">
        <v>4</v>
      </c>
      <c r="C38" s="2" t="s">
        <v>75</v>
      </c>
      <c r="D38" s="36">
        <v>5</v>
      </c>
      <c r="E38" s="37"/>
      <c r="F38" s="33"/>
      <c r="G38" s="38" t="str">
        <f t="shared" si="0"/>
        <v>❌ Ej påbörjad</v>
      </c>
      <c r="H38" s="39" t="s">
        <v>309</v>
      </c>
      <c r="I38" s="35"/>
      <c r="J38" s="40" t="s">
        <v>344</v>
      </c>
    </row>
    <row r="39" spans="2:10" ht="36" customHeight="1" x14ac:dyDescent="0.2">
      <c r="B39" s="32">
        <v>5</v>
      </c>
      <c r="C39" s="2" t="s">
        <v>300</v>
      </c>
      <c r="D39" s="36">
        <v>5</v>
      </c>
      <c r="E39" s="37"/>
      <c r="F39" s="33"/>
      <c r="G39" s="38" t="str">
        <f t="shared" si="0"/>
        <v>❌ Ej påbörjad</v>
      </c>
      <c r="H39" s="39" t="s">
        <v>309</v>
      </c>
      <c r="I39" s="35"/>
      <c r="J39" s="40" t="s">
        <v>345</v>
      </c>
    </row>
    <row r="40" spans="2:10" ht="36" customHeight="1" x14ac:dyDescent="0.2">
      <c r="B40" s="32">
        <v>6</v>
      </c>
      <c r="C40" s="2" t="s">
        <v>76</v>
      </c>
      <c r="D40" s="36">
        <v>5</v>
      </c>
      <c r="E40" s="37"/>
      <c r="F40" s="33"/>
      <c r="G40" s="38" t="str">
        <f t="shared" si="0"/>
        <v>❌ Ej påbörjad</v>
      </c>
      <c r="H40" s="39" t="s">
        <v>309</v>
      </c>
      <c r="I40" s="35"/>
      <c r="J40" s="40" t="s">
        <v>346</v>
      </c>
    </row>
    <row r="41" spans="2:10" ht="46" customHeight="1" x14ac:dyDescent="0.2">
      <c r="B41" s="32">
        <v>7</v>
      </c>
      <c r="C41" s="2" t="s">
        <v>77</v>
      </c>
      <c r="D41" s="36">
        <v>5</v>
      </c>
      <c r="E41" s="37"/>
      <c r="F41" s="33"/>
      <c r="G41" s="38" t="str">
        <f t="shared" si="0"/>
        <v>❌ Ej påbörjad</v>
      </c>
      <c r="H41" s="39" t="s">
        <v>309</v>
      </c>
      <c r="I41" s="35"/>
      <c r="J41" s="40" t="s">
        <v>347</v>
      </c>
    </row>
    <row r="42" spans="2:10" ht="38" customHeight="1" x14ac:dyDescent="0.2">
      <c r="B42" s="32">
        <v>8</v>
      </c>
      <c r="C42" s="2" t="s">
        <v>79</v>
      </c>
      <c r="D42" s="36">
        <v>5</v>
      </c>
      <c r="E42" s="37"/>
      <c r="F42" s="33"/>
      <c r="G42" s="38" t="str">
        <f t="shared" si="0"/>
        <v>❌ Ej påbörjad</v>
      </c>
      <c r="H42" s="39" t="s">
        <v>309</v>
      </c>
      <c r="I42" s="35"/>
      <c r="J42" s="40" t="s">
        <v>348</v>
      </c>
    </row>
    <row r="43" spans="2:10" ht="36" customHeight="1" x14ac:dyDescent="0.2">
      <c r="B43" s="32">
        <v>9</v>
      </c>
      <c r="C43" s="2" t="s">
        <v>301</v>
      </c>
      <c r="D43" s="36">
        <v>5</v>
      </c>
      <c r="E43" s="37"/>
      <c r="F43" s="33"/>
      <c r="G43" s="38" t="str">
        <f t="shared" si="0"/>
        <v>❌ Ej påbörjad</v>
      </c>
      <c r="H43" s="39" t="s">
        <v>309</v>
      </c>
      <c r="I43" s="35"/>
      <c r="J43" s="40" t="s">
        <v>349</v>
      </c>
    </row>
    <row r="44" spans="2:10" ht="36" customHeight="1" x14ac:dyDescent="0.2">
      <c r="B44" s="32">
        <v>10</v>
      </c>
      <c r="C44" s="2" t="s">
        <v>80</v>
      </c>
      <c r="D44" s="36">
        <v>4</v>
      </c>
      <c r="E44" s="37"/>
      <c r="F44" s="33"/>
      <c r="G44" s="38" t="str">
        <f t="shared" si="0"/>
        <v>❌ Ej påbörjad</v>
      </c>
      <c r="H44" s="39" t="s">
        <v>309</v>
      </c>
      <c r="I44" s="35"/>
      <c r="J44" s="40" t="s">
        <v>350</v>
      </c>
    </row>
    <row r="45" spans="2:10" ht="46" customHeight="1" x14ac:dyDescent="0.2">
      <c r="B45" s="32">
        <v>11</v>
      </c>
      <c r="C45" s="2" t="s">
        <v>82</v>
      </c>
      <c r="D45" s="36">
        <v>3</v>
      </c>
      <c r="E45" s="37"/>
      <c r="F45" s="33"/>
      <c r="G45" s="38" t="str">
        <f t="shared" si="0"/>
        <v>❌ Ej påbörjad</v>
      </c>
      <c r="H45" s="39" t="s">
        <v>309</v>
      </c>
      <c r="I45" s="35"/>
      <c r="J45" s="40" t="s">
        <v>351</v>
      </c>
    </row>
    <row r="46" spans="2:10" ht="24" customHeight="1" x14ac:dyDescent="0.2">
      <c r="B46" s="75" t="s">
        <v>84</v>
      </c>
      <c r="C46" s="75"/>
      <c r="D46" s="75"/>
      <c r="E46" s="75"/>
      <c r="F46" s="75"/>
      <c r="G46" s="75"/>
      <c r="H46" s="75"/>
      <c r="I46" s="75"/>
      <c r="J46" s="75"/>
    </row>
    <row r="47" spans="2:10" ht="36" customHeight="1" x14ac:dyDescent="0.2">
      <c r="B47" s="32">
        <v>12</v>
      </c>
      <c r="C47" s="2" t="s">
        <v>307</v>
      </c>
      <c r="D47" s="36">
        <v>5</v>
      </c>
      <c r="E47" s="37"/>
      <c r="F47" s="33"/>
      <c r="G47" s="38" t="str">
        <f t="shared" ref="G47:G59" si="1">IF(E47="","❌ Ej påbörjad",IF(E47&gt;D47,"🔵 Överträffad",IF(E47=D47,"🟢 Uppnådd","🟡 Pågående")))</f>
        <v>❌ Ej påbörjad</v>
      </c>
      <c r="H47" s="39" t="s">
        <v>303</v>
      </c>
      <c r="I47" s="35"/>
      <c r="J47" s="40" t="s">
        <v>352</v>
      </c>
    </row>
    <row r="48" spans="2:10" ht="36" customHeight="1" x14ac:dyDescent="0.2">
      <c r="B48" s="32">
        <v>13</v>
      </c>
      <c r="C48" s="2" t="s">
        <v>85</v>
      </c>
      <c r="D48" s="36">
        <v>5</v>
      </c>
      <c r="E48" s="37"/>
      <c r="F48" s="33"/>
      <c r="G48" s="38" t="str">
        <f t="shared" si="1"/>
        <v>❌ Ej påbörjad</v>
      </c>
      <c r="H48" s="39" t="s">
        <v>303</v>
      </c>
      <c r="I48" s="35"/>
      <c r="J48" s="40" t="s">
        <v>353</v>
      </c>
    </row>
    <row r="49" spans="2:10" ht="36" customHeight="1" x14ac:dyDescent="0.2">
      <c r="B49" s="32">
        <v>14</v>
      </c>
      <c r="C49" s="2" t="s">
        <v>86</v>
      </c>
      <c r="D49" s="36">
        <v>5</v>
      </c>
      <c r="E49" s="37"/>
      <c r="F49" s="33"/>
      <c r="G49" s="38" t="str">
        <f t="shared" si="1"/>
        <v>❌ Ej påbörjad</v>
      </c>
      <c r="H49" s="39" t="s">
        <v>303</v>
      </c>
      <c r="I49" s="35"/>
      <c r="J49" s="40" t="s">
        <v>354</v>
      </c>
    </row>
    <row r="50" spans="2:10" ht="36" customHeight="1" x14ac:dyDescent="0.2">
      <c r="B50" s="32">
        <v>15</v>
      </c>
      <c r="C50" s="2" t="s">
        <v>87</v>
      </c>
      <c r="D50" s="36">
        <v>5</v>
      </c>
      <c r="E50" s="37"/>
      <c r="F50" s="33"/>
      <c r="G50" s="38" t="str">
        <f t="shared" si="1"/>
        <v>❌ Ej påbörjad</v>
      </c>
      <c r="H50" s="39" t="s">
        <v>303</v>
      </c>
      <c r="I50" s="35"/>
      <c r="J50" s="40" t="s">
        <v>355</v>
      </c>
    </row>
    <row r="51" spans="2:10" ht="36" customHeight="1" x14ac:dyDescent="0.2">
      <c r="B51" s="32">
        <v>16</v>
      </c>
      <c r="C51" s="2" t="s">
        <v>88</v>
      </c>
      <c r="D51" s="36">
        <v>5</v>
      </c>
      <c r="E51" s="37"/>
      <c r="F51" s="33"/>
      <c r="G51" s="38" t="str">
        <f t="shared" si="1"/>
        <v>❌ Ej påbörjad</v>
      </c>
      <c r="H51" s="39" t="s">
        <v>303</v>
      </c>
      <c r="I51" s="35"/>
      <c r="J51" s="40" t="s">
        <v>356</v>
      </c>
    </row>
    <row r="52" spans="2:10" ht="36" customHeight="1" x14ac:dyDescent="0.2">
      <c r="B52" s="32">
        <v>17</v>
      </c>
      <c r="C52" s="2" t="s">
        <v>89</v>
      </c>
      <c r="D52" s="36">
        <v>4</v>
      </c>
      <c r="E52" s="37"/>
      <c r="F52" s="33"/>
      <c r="G52" s="38" t="str">
        <f t="shared" si="1"/>
        <v>❌ Ej påbörjad</v>
      </c>
      <c r="H52" s="39" t="s">
        <v>303</v>
      </c>
      <c r="I52" s="35"/>
      <c r="J52" s="40" t="s">
        <v>357</v>
      </c>
    </row>
    <row r="53" spans="2:10" ht="36" customHeight="1" x14ac:dyDescent="0.2">
      <c r="B53" s="32">
        <v>18</v>
      </c>
      <c r="C53" s="2" t="s">
        <v>90</v>
      </c>
      <c r="D53" s="36">
        <v>4</v>
      </c>
      <c r="E53" s="37"/>
      <c r="F53" s="33"/>
      <c r="G53" s="38" t="str">
        <f t="shared" si="1"/>
        <v>❌ Ej påbörjad</v>
      </c>
      <c r="H53" s="39" t="s">
        <v>303</v>
      </c>
      <c r="I53" s="35"/>
      <c r="J53" s="40" t="s">
        <v>358</v>
      </c>
    </row>
    <row r="54" spans="2:10" ht="36" customHeight="1" x14ac:dyDescent="0.2">
      <c r="B54" s="32">
        <v>19</v>
      </c>
      <c r="C54" s="2" t="s">
        <v>91</v>
      </c>
      <c r="D54" s="36">
        <v>5</v>
      </c>
      <c r="E54" s="37"/>
      <c r="F54" s="33"/>
      <c r="G54" s="38" t="str">
        <f t="shared" si="1"/>
        <v>❌ Ej påbörjad</v>
      </c>
      <c r="H54" s="39" t="s">
        <v>303</v>
      </c>
      <c r="I54" s="35"/>
      <c r="J54" s="40" t="s">
        <v>359</v>
      </c>
    </row>
    <row r="55" spans="2:10" ht="36" customHeight="1" x14ac:dyDescent="0.2">
      <c r="B55" s="32">
        <v>20</v>
      </c>
      <c r="C55" s="2" t="s">
        <v>92</v>
      </c>
      <c r="D55" s="36">
        <v>5</v>
      </c>
      <c r="E55" s="37"/>
      <c r="F55" s="33"/>
      <c r="G55" s="38" t="str">
        <f t="shared" si="1"/>
        <v>❌ Ej påbörjad</v>
      </c>
      <c r="H55" s="39" t="s">
        <v>303</v>
      </c>
      <c r="I55" s="35"/>
      <c r="J55" s="40" t="s">
        <v>360</v>
      </c>
    </row>
    <row r="56" spans="2:10" ht="36" customHeight="1" x14ac:dyDescent="0.2">
      <c r="B56" s="32">
        <v>21</v>
      </c>
      <c r="C56" s="2" t="s">
        <v>93</v>
      </c>
      <c r="D56" s="36">
        <v>3</v>
      </c>
      <c r="E56" s="37"/>
      <c r="F56" s="33"/>
      <c r="G56" s="38" t="str">
        <f t="shared" si="1"/>
        <v>❌ Ej påbörjad</v>
      </c>
      <c r="H56" s="39" t="s">
        <v>303</v>
      </c>
      <c r="I56" s="35"/>
      <c r="J56" s="40" t="s">
        <v>361</v>
      </c>
    </row>
    <row r="57" spans="2:10" ht="36" customHeight="1" x14ac:dyDescent="0.2">
      <c r="B57" s="32">
        <v>22</v>
      </c>
      <c r="C57" s="2" t="s">
        <v>94</v>
      </c>
      <c r="D57" s="36">
        <v>5</v>
      </c>
      <c r="E57" s="37"/>
      <c r="F57" s="33"/>
      <c r="G57" s="38" t="str">
        <f t="shared" si="1"/>
        <v>❌ Ej påbörjad</v>
      </c>
      <c r="H57" s="39" t="s">
        <v>303</v>
      </c>
      <c r="I57" s="35"/>
      <c r="J57" s="40" t="s">
        <v>362</v>
      </c>
    </row>
    <row r="58" spans="2:10" ht="36" customHeight="1" x14ac:dyDescent="0.2">
      <c r="B58" s="32">
        <v>23</v>
      </c>
      <c r="C58" s="2" t="s">
        <v>95</v>
      </c>
      <c r="D58" s="36">
        <v>5</v>
      </c>
      <c r="E58" s="37"/>
      <c r="F58" s="33"/>
      <c r="G58" s="38" t="str">
        <f t="shared" si="1"/>
        <v>❌ Ej påbörjad</v>
      </c>
      <c r="H58" s="39" t="s">
        <v>303</v>
      </c>
      <c r="I58" s="35"/>
      <c r="J58" s="40" t="s">
        <v>363</v>
      </c>
    </row>
    <row r="59" spans="2:10" ht="36" customHeight="1" x14ac:dyDescent="0.2">
      <c r="B59" s="32">
        <v>24</v>
      </c>
      <c r="C59" s="2" t="s">
        <v>96</v>
      </c>
      <c r="D59" s="36">
        <v>4</v>
      </c>
      <c r="E59" s="37"/>
      <c r="F59" s="33"/>
      <c r="G59" s="38" t="str">
        <f t="shared" si="1"/>
        <v>❌ Ej påbörjad</v>
      </c>
      <c r="H59" s="39" t="s">
        <v>303</v>
      </c>
      <c r="I59" s="35"/>
      <c r="J59" s="40" t="s">
        <v>364</v>
      </c>
    </row>
    <row r="60" spans="2:10" ht="24" customHeight="1" x14ac:dyDescent="0.2">
      <c r="B60" s="75" t="s">
        <v>97</v>
      </c>
      <c r="C60" s="75"/>
      <c r="D60" s="75"/>
      <c r="E60" s="75"/>
      <c r="F60" s="75"/>
      <c r="G60" s="75"/>
      <c r="H60" s="75"/>
      <c r="I60" s="75"/>
      <c r="J60" s="75"/>
    </row>
    <row r="61" spans="2:10" ht="36" customHeight="1" x14ac:dyDescent="0.2">
      <c r="B61" s="32">
        <v>25</v>
      </c>
      <c r="C61" s="2" t="s">
        <v>98</v>
      </c>
      <c r="D61" s="36">
        <v>5</v>
      </c>
      <c r="E61" s="37"/>
      <c r="F61" s="33"/>
      <c r="G61" s="38" t="str">
        <f t="shared" ref="G61:G68" si="2">IF(E61="","❌ Ej påbörjad",IF(E61&gt;D61,"🔵 Överträffad",IF(E61=D61,"🟢 Uppnådd","🟡 Pågående")))</f>
        <v>❌ Ej påbörjad</v>
      </c>
      <c r="H61" s="39" t="s">
        <v>309</v>
      </c>
      <c r="I61" s="35"/>
      <c r="J61" s="40" t="s">
        <v>365</v>
      </c>
    </row>
    <row r="62" spans="2:10" ht="36" customHeight="1" x14ac:dyDescent="0.2">
      <c r="B62" s="32">
        <v>26</v>
      </c>
      <c r="C62" s="2" t="s">
        <v>99</v>
      </c>
      <c r="D62" s="36">
        <v>5</v>
      </c>
      <c r="E62" s="37"/>
      <c r="F62" s="33"/>
      <c r="G62" s="38" t="str">
        <f t="shared" si="2"/>
        <v>❌ Ej påbörjad</v>
      </c>
      <c r="H62" s="39" t="s">
        <v>309</v>
      </c>
      <c r="I62" s="35"/>
      <c r="J62" s="40" t="s">
        <v>366</v>
      </c>
    </row>
    <row r="63" spans="2:10" ht="36" customHeight="1" x14ac:dyDescent="0.2">
      <c r="B63" s="32">
        <v>27</v>
      </c>
      <c r="C63" s="2" t="s">
        <v>100</v>
      </c>
      <c r="D63" s="36">
        <v>5</v>
      </c>
      <c r="E63" s="37"/>
      <c r="F63" s="33"/>
      <c r="G63" s="38" t="str">
        <f t="shared" si="2"/>
        <v>❌ Ej påbörjad</v>
      </c>
      <c r="H63" s="39" t="s">
        <v>309</v>
      </c>
      <c r="I63" s="35"/>
      <c r="J63" s="40" t="s">
        <v>367</v>
      </c>
    </row>
    <row r="64" spans="2:10" ht="36" customHeight="1" x14ac:dyDescent="0.2">
      <c r="B64" s="32">
        <v>28</v>
      </c>
      <c r="C64" s="2" t="s">
        <v>101</v>
      </c>
      <c r="D64" s="36">
        <v>5</v>
      </c>
      <c r="E64" s="37"/>
      <c r="F64" s="33"/>
      <c r="G64" s="38" t="str">
        <f t="shared" si="2"/>
        <v>❌ Ej påbörjad</v>
      </c>
      <c r="H64" s="39" t="s">
        <v>309</v>
      </c>
      <c r="I64" s="35"/>
      <c r="J64" s="40" t="s">
        <v>368</v>
      </c>
    </row>
    <row r="65" spans="2:10" ht="36" customHeight="1" x14ac:dyDescent="0.2">
      <c r="B65" s="32">
        <v>29</v>
      </c>
      <c r="C65" s="2" t="s">
        <v>102</v>
      </c>
      <c r="D65" s="36">
        <v>4</v>
      </c>
      <c r="E65" s="37"/>
      <c r="F65" s="33"/>
      <c r="G65" s="38" t="str">
        <f t="shared" si="2"/>
        <v>❌ Ej påbörjad</v>
      </c>
      <c r="H65" s="39" t="s">
        <v>309</v>
      </c>
      <c r="I65" s="35"/>
      <c r="J65" s="40" t="s">
        <v>369</v>
      </c>
    </row>
    <row r="66" spans="2:10" ht="36" customHeight="1" x14ac:dyDescent="0.2">
      <c r="B66" s="32">
        <v>30</v>
      </c>
      <c r="C66" s="2" t="s">
        <v>103</v>
      </c>
      <c r="D66" s="36">
        <v>4</v>
      </c>
      <c r="E66" s="37"/>
      <c r="F66" s="33"/>
      <c r="G66" s="38" t="str">
        <f t="shared" si="2"/>
        <v>❌ Ej påbörjad</v>
      </c>
      <c r="H66" s="39" t="s">
        <v>309</v>
      </c>
      <c r="I66" s="35"/>
      <c r="J66" s="40" t="s">
        <v>370</v>
      </c>
    </row>
    <row r="67" spans="2:10" ht="36" customHeight="1" x14ac:dyDescent="0.2">
      <c r="B67" s="32">
        <v>31</v>
      </c>
      <c r="C67" s="2" t="s">
        <v>104</v>
      </c>
      <c r="D67" s="36">
        <v>5</v>
      </c>
      <c r="E67" s="37"/>
      <c r="F67" s="33"/>
      <c r="G67" s="38" t="str">
        <f t="shared" si="2"/>
        <v>❌ Ej påbörjad</v>
      </c>
      <c r="H67" s="39" t="s">
        <v>309</v>
      </c>
      <c r="I67" s="35"/>
      <c r="J67" s="40" t="s">
        <v>371</v>
      </c>
    </row>
    <row r="68" spans="2:10" ht="36" customHeight="1" x14ac:dyDescent="0.2">
      <c r="B68" s="32">
        <v>32</v>
      </c>
      <c r="C68" s="2" t="s">
        <v>105</v>
      </c>
      <c r="D68" s="36">
        <v>3</v>
      </c>
      <c r="E68" s="37"/>
      <c r="F68" s="33"/>
      <c r="G68" s="38" t="str">
        <f t="shared" si="2"/>
        <v>❌ Ej påbörjad</v>
      </c>
      <c r="H68" s="39" t="s">
        <v>309</v>
      </c>
      <c r="I68" s="35"/>
      <c r="J68" s="40" t="s">
        <v>372</v>
      </c>
    </row>
    <row r="69" spans="2:10" ht="24" customHeight="1" x14ac:dyDescent="0.2">
      <c r="B69" s="75" t="s">
        <v>106</v>
      </c>
      <c r="C69" s="75"/>
      <c r="D69" s="75"/>
      <c r="E69" s="75"/>
      <c r="F69" s="75"/>
      <c r="G69" s="75"/>
      <c r="H69" s="75"/>
      <c r="I69" s="75"/>
      <c r="J69" s="75"/>
    </row>
    <row r="70" spans="2:10" ht="36" customHeight="1" x14ac:dyDescent="0.2">
      <c r="B70" s="32">
        <v>33</v>
      </c>
      <c r="C70" s="2" t="s">
        <v>304</v>
      </c>
      <c r="D70" s="36">
        <v>5</v>
      </c>
      <c r="E70" s="37"/>
      <c r="F70" s="33"/>
      <c r="G70" s="38" t="str">
        <f t="shared" ref="G70:G77" si="3">IF(E70="","❌ Ej påbörjad",IF(E70&gt;D70,"🔵 Överträffad",IF(E70=D70,"🟢 Uppnådd","🟡 Pågående")))</f>
        <v>❌ Ej påbörjad</v>
      </c>
      <c r="H70" s="39" t="s">
        <v>303</v>
      </c>
      <c r="I70" s="35"/>
      <c r="J70" s="40" t="s">
        <v>373</v>
      </c>
    </row>
    <row r="71" spans="2:10" ht="36" customHeight="1" x14ac:dyDescent="0.2">
      <c r="B71" s="32">
        <v>34</v>
      </c>
      <c r="C71" s="2" t="s">
        <v>306</v>
      </c>
      <c r="D71" s="36">
        <v>5</v>
      </c>
      <c r="E71" s="37"/>
      <c r="F71" s="33"/>
      <c r="G71" s="38" t="str">
        <f t="shared" si="3"/>
        <v>❌ Ej påbörjad</v>
      </c>
      <c r="H71" s="39" t="s">
        <v>303</v>
      </c>
      <c r="I71" s="35"/>
      <c r="J71" s="40" t="s">
        <v>374</v>
      </c>
    </row>
    <row r="72" spans="2:10" ht="36" customHeight="1" x14ac:dyDescent="0.2">
      <c r="B72" s="32">
        <v>35</v>
      </c>
      <c r="C72" s="2" t="s">
        <v>305</v>
      </c>
      <c r="D72" s="36">
        <v>5</v>
      </c>
      <c r="E72" s="37"/>
      <c r="F72" s="33"/>
      <c r="G72" s="38" t="str">
        <f t="shared" si="3"/>
        <v>❌ Ej påbörjad</v>
      </c>
      <c r="H72" s="39" t="s">
        <v>303</v>
      </c>
      <c r="I72" s="35"/>
      <c r="J72" s="40" t="s">
        <v>375</v>
      </c>
    </row>
    <row r="73" spans="2:10" ht="36" customHeight="1" x14ac:dyDescent="0.2">
      <c r="B73" s="32">
        <v>36</v>
      </c>
      <c r="C73" s="2" t="s">
        <v>107</v>
      </c>
      <c r="D73" s="36">
        <v>5</v>
      </c>
      <c r="E73" s="37"/>
      <c r="F73" s="33"/>
      <c r="G73" s="38" t="str">
        <f t="shared" si="3"/>
        <v>❌ Ej påbörjad</v>
      </c>
      <c r="H73" s="39" t="s">
        <v>303</v>
      </c>
      <c r="I73" s="35"/>
      <c r="J73" s="40" t="s">
        <v>376</v>
      </c>
    </row>
    <row r="74" spans="2:10" ht="36" customHeight="1" x14ac:dyDescent="0.2">
      <c r="B74" s="32">
        <v>37</v>
      </c>
      <c r="C74" s="2" t="s">
        <v>108</v>
      </c>
      <c r="D74" s="36">
        <v>5</v>
      </c>
      <c r="E74" s="37"/>
      <c r="F74" s="33"/>
      <c r="G74" s="38" t="str">
        <f t="shared" si="3"/>
        <v>❌ Ej påbörjad</v>
      </c>
      <c r="H74" s="39" t="s">
        <v>303</v>
      </c>
      <c r="I74" s="35"/>
      <c r="J74" s="40" t="s">
        <v>377</v>
      </c>
    </row>
    <row r="75" spans="2:10" ht="36" customHeight="1" x14ac:dyDescent="0.2">
      <c r="B75" s="32">
        <v>38</v>
      </c>
      <c r="C75" s="2" t="s">
        <v>109</v>
      </c>
      <c r="D75" s="36">
        <v>5</v>
      </c>
      <c r="E75" s="37"/>
      <c r="F75" s="33"/>
      <c r="G75" s="38" t="str">
        <f t="shared" si="3"/>
        <v>❌ Ej påbörjad</v>
      </c>
      <c r="H75" s="39" t="s">
        <v>303</v>
      </c>
      <c r="I75" s="35"/>
      <c r="J75" s="40" t="s">
        <v>378</v>
      </c>
    </row>
    <row r="76" spans="2:10" ht="36" customHeight="1" x14ac:dyDescent="0.2">
      <c r="B76" s="32">
        <v>39</v>
      </c>
      <c r="C76" s="2" t="s">
        <v>110</v>
      </c>
      <c r="D76" s="36">
        <v>4</v>
      </c>
      <c r="E76" s="37"/>
      <c r="F76" s="33"/>
      <c r="G76" s="38" t="str">
        <f t="shared" si="3"/>
        <v>❌ Ej påbörjad</v>
      </c>
      <c r="H76" s="39" t="s">
        <v>303</v>
      </c>
      <c r="I76" s="35"/>
      <c r="J76" s="40" t="s">
        <v>379</v>
      </c>
    </row>
    <row r="77" spans="2:10" ht="36" customHeight="1" x14ac:dyDescent="0.2">
      <c r="B77" s="32">
        <v>40</v>
      </c>
      <c r="C77" s="2" t="s">
        <v>111</v>
      </c>
      <c r="D77" s="36">
        <v>3</v>
      </c>
      <c r="E77" s="37"/>
      <c r="F77" s="33"/>
      <c r="G77" s="38" t="str">
        <f t="shared" si="3"/>
        <v>❌ Ej påbörjad</v>
      </c>
      <c r="H77" s="39" t="s">
        <v>303</v>
      </c>
      <c r="I77" s="35"/>
      <c r="J77" s="40" t="s">
        <v>380</v>
      </c>
    </row>
    <row r="78" spans="2:10" ht="36" customHeight="1" x14ac:dyDescent="0.2">
      <c r="B78" s="32">
        <v>41</v>
      </c>
      <c r="C78" s="2" t="s">
        <v>310</v>
      </c>
      <c r="D78" s="36">
        <v>5</v>
      </c>
      <c r="E78" s="37"/>
      <c r="F78" s="33"/>
      <c r="G78" s="38" t="str">
        <f>IF(E78="","❌ Ej påbörjad",IF(E78&gt;D78,"🔵 Överträffad",IF(E78=D78,"🟢 Uppnådd","🟡 Pågående")))</f>
        <v>❌ Ej påbörjad</v>
      </c>
      <c r="H78" s="39" t="s">
        <v>303</v>
      </c>
      <c r="I78" s="35"/>
      <c r="J78" s="40" t="s">
        <v>381</v>
      </c>
    </row>
    <row r="79" spans="2:10" ht="36" customHeight="1" x14ac:dyDescent="0.2">
      <c r="B79" s="32">
        <v>42</v>
      </c>
      <c r="C79" s="2" t="s">
        <v>311</v>
      </c>
      <c r="D79" s="36">
        <v>5</v>
      </c>
      <c r="E79" s="37"/>
      <c r="F79" s="33"/>
      <c r="G79" s="38" t="str">
        <f>IF(E79="","❌ Ej påbörjad",IF(E79&gt;D79,"🔵 Överträffad",IF(E79=D79,"🟢 Uppnådd","🟡 Pågående")))</f>
        <v>❌ Ej påbörjad</v>
      </c>
      <c r="H79" s="39" t="s">
        <v>303</v>
      </c>
      <c r="I79" s="35"/>
      <c r="J79" s="40" t="s">
        <v>382</v>
      </c>
    </row>
    <row r="80" spans="2:10" ht="36" customHeight="1" x14ac:dyDescent="0.2">
      <c r="B80" s="32">
        <v>43</v>
      </c>
      <c r="C80" s="2" t="s">
        <v>312</v>
      </c>
      <c r="D80" s="36">
        <v>5</v>
      </c>
      <c r="E80" s="37"/>
      <c r="F80" s="33"/>
      <c r="G80" s="38" t="str">
        <f>IF(E80="","❌ Ej påbörjad",IF(E80&gt;D80,"🔵 Överträffad",IF(E80=D80,"🟢 Uppnådd","🟡 Pågående")))</f>
        <v>❌ Ej påbörjad</v>
      </c>
      <c r="H80" s="39" t="s">
        <v>302</v>
      </c>
      <c r="I80" s="35"/>
      <c r="J80" s="40" t="s">
        <v>383</v>
      </c>
    </row>
    <row r="81" spans="2:10" ht="36" customHeight="1" x14ac:dyDescent="0.2">
      <c r="B81" s="32">
        <v>44</v>
      </c>
      <c r="C81" s="2" t="s">
        <v>313</v>
      </c>
      <c r="D81" s="36">
        <v>5</v>
      </c>
      <c r="E81" s="37"/>
      <c r="F81" s="33"/>
      <c r="G81" s="38" t="str">
        <f>IF(E81="","❌ Ej påbörjad",IF(E81&gt;D81,"🔵 Överträffad",IF(E81=D81,"🟢 Uppnådd","🟡 Pågående")))</f>
        <v>❌ Ej påbörjad</v>
      </c>
      <c r="H81" s="39" t="s">
        <v>303</v>
      </c>
      <c r="I81" s="35"/>
      <c r="J81" s="40" t="s">
        <v>384</v>
      </c>
    </row>
    <row r="82" spans="2:10" ht="24" customHeight="1" x14ac:dyDescent="0.2">
      <c r="B82" s="75" t="s">
        <v>113</v>
      </c>
      <c r="C82" s="75"/>
      <c r="D82" s="75"/>
      <c r="E82" s="75"/>
      <c r="F82" s="75"/>
      <c r="G82" s="75"/>
      <c r="H82" s="75"/>
      <c r="I82" s="75"/>
      <c r="J82" s="75"/>
    </row>
    <row r="83" spans="2:10" ht="36" customHeight="1" x14ac:dyDescent="0.2">
      <c r="B83" s="32">
        <v>45</v>
      </c>
      <c r="C83" s="2" t="s">
        <v>114</v>
      </c>
      <c r="D83" s="36">
        <v>5</v>
      </c>
      <c r="E83" s="37"/>
      <c r="F83" s="33"/>
      <c r="G83" s="38" t="str">
        <f t="shared" ref="G83:G89" si="4">IF(E83="","❌ Ej påbörjad",IF(E83&gt;D83,"🔵 Överträffad",IF(E83=D83,"🟢 Uppnådd","🟡 Pågående")))</f>
        <v>❌ Ej påbörjad</v>
      </c>
      <c r="H83" s="39" t="s">
        <v>303</v>
      </c>
      <c r="I83" s="35"/>
      <c r="J83" s="40" t="s">
        <v>385</v>
      </c>
    </row>
    <row r="84" spans="2:10" ht="36" customHeight="1" x14ac:dyDescent="0.2">
      <c r="B84" s="32">
        <v>46</v>
      </c>
      <c r="C84" s="2" t="s">
        <v>116</v>
      </c>
      <c r="D84" s="36">
        <v>5</v>
      </c>
      <c r="E84" s="37"/>
      <c r="F84" s="33"/>
      <c r="G84" s="38" t="str">
        <f t="shared" si="4"/>
        <v>❌ Ej påbörjad</v>
      </c>
      <c r="H84" s="39" t="s">
        <v>303</v>
      </c>
      <c r="I84" s="35"/>
      <c r="J84" s="40" t="s">
        <v>386</v>
      </c>
    </row>
    <row r="85" spans="2:10" ht="36" customHeight="1" x14ac:dyDescent="0.2">
      <c r="B85" s="32">
        <v>47</v>
      </c>
      <c r="C85" s="2" t="s">
        <v>117</v>
      </c>
      <c r="D85" s="36">
        <v>5</v>
      </c>
      <c r="E85" s="37"/>
      <c r="F85" s="33"/>
      <c r="G85" s="38" t="str">
        <f t="shared" si="4"/>
        <v>❌ Ej påbörjad</v>
      </c>
      <c r="H85" s="39" t="s">
        <v>303</v>
      </c>
      <c r="I85" s="35"/>
      <c r="J85" s="40" t="s">
        <v>387</v>
      </c>
    </row>
    <row r="86" spans="2:10" ht="36" customHeight="1" x14ac:dyDescent="0.2">
      <c r="B86" s="32">
        <v>48</v>
      </c>
      <c r="C86" s="2" t="s">
        <v>118</v>
      </c>
      <c r="D86" s="36">
        <v>5</v>
      </c>
      <c r="E86" s="37"/>
      <c r="F86" s="33"/>
      <c r="G86" s="38" t="str">
        <f t="shared" si="4"/>
        <v>❌ Ej påbörjad</v>
      </c>
      <c r="H86" s="39" t="s">
        <v>303</v>
      </c>
      <c r="I86" s="35"/>
      <c r="J86" s="40" t="s">
        <v>388</v>
      </c>
    </row>
    <row r="87" spans="2:10" ht="36" customHeight="1" x14ac:dyDescent="0.2">
      <c r="B87" s="32">
        <v>49</v>
      </c>
      <c r="C87" s="2" t="s">
        <v>119</v>
      </c>
      <c r="D87" s="36">
        <v>5</v>
      </c>
      <c r="E87" s="37"/>
      <c r="F87" s="33"/>
      <c r="G87" s="38" t="str">
        <f t="shared" si="4"/>
        <v>❌ Ej påbörjad</v>
      </c>
      <c r="H87" s="39" t="s">
        <v>303</v>
      </c>
      <c r="I87" s="35"/>
      <c r="J87" s="40" t="s">
        <v>389</v>
      </c>
    </row>
    <row r="88" spans="2:10" ht="36" customHeight="1" x14ac:dyDescent="0.2">
      <c r="B88" s="32">
        <v>50</v>
      </c>
      <c r="C88" s="2" t="s">
        <v>120</v>
      </c>
      <c r="D88" s="36">
        <v>5</v>
      </c>
      <c r="E88" s="37"/>
      <c r="F88" s="33"/>
      <c r="G88" s="38" t="str">
        <f t="shared" si="4"/>
        <v>❌ Ej påbörjad</v>
      </c>
      <c r="H88" s="39" t="s">
        <v>303</v>
      </c>
      <c r="I88" s="35"/>
      <c r="J88" s="40" t="s">
        <v>390</v>
      </c>
    </row>
    <row r="89" spans="2:10" ht="36" customHeight="1" x14ac:dyDescent="0.2">
      <c r="B89" s="32">
        <v>51</v>
      </c>
      <c r="C89" s="2" t="s">
        <v>121</v>
      </c>
      <c r="D89" s="36">
        <v>3</v>
      </c>
      <c r="E89" s="37"/>
      <c r="F89" s="33"/>
      <c r="G89" s="38" t="str">
        <f t="shared" si="4"/>
        <v>❌ Ej påbörjad</v>
      </c>
      <c r="H89" s="39" t="s">
        <v>303</v>
      </c>
      <c r="I89" s="35"/>
      <c r="J89" s="40" t="s">
        <v>391</v>
      </c>
    </row>
    <row r="90" spans="2:10" ht="24" customHeight="1" x14ac:dyDescent="0.2">
      <c r="B90" s="75" t="s">
        <v>250</v>
      </c>
      <c r="C90" s="75"/>
      <c r="D90" s="75"/>
      <c r="E90" s="75"/>
      <c r="F90" s="75"/>
      <c r="G90" s="75"/>
      <c r="H90" s="75"/>
      <c r="I90" s="75"/>
      <c r="J90" s="75"/>
    </row>
    <row r="91" spans="2:10" ht="36" customHeight="1" x14ac:dyDescent="0.2">
      <c r="B91" s="32">
        <v>52</v>
      </c>
      <c r="C91" s="2" t="s">
        <v>251</v>
      </c>
      <c r="D91" s="36">
        <v>4</v>
      </c>
      <c r="E91" s="37"/>
      <c r="F91" s="33"/>
      <c r="G91" s="38" t="str">
        <f>IF(E91="","❌ Ej påbörjad",IF(E91&gt;D91,"🔵 Överträffad",IF(E91=D91,"🟢 Uppnådd","🟡 Pågående")))</f>
        <v>❌ Ej påbörjad</v>
      </c>
      <c r="H91" s="39" t="s">
        <v>303</v>
      </c>
      <c r="I91" s="35"/>
      <c r="J91" s="40" t="s">
        <v>501</v>
      </c>
    </row>
    <row r="92" spans="2:10" ht="36" customHeight="1" x14ac:dyDescent="0.2">
      <c r="B92" s="32">
        <v>53</v>
      </c>
      <c r="C92" s="2" t="s">
        <v>253</v>
      </c>
      <c r="D92" s="36">
        <v>5</v>
      </c>
      <c r="E92" s="37"/>
      <c r="F92" s="33"/>
      <c r="G92" s="38" t="str">
        <f>IF(E92="","❌ Ej påbörjad",IF(E92&gt;D92,"🔵 Överträffad",IF(E92=D92,"🟢 Uppnådd","🟡 Pågående")))</f>
        <v>❌ Ej påbörjad</v>
      </c>
      <c r="H92" s="39" t="s">
        <v>303</v>
      </c>
      <c r="I92" s="35"/>
      <c r="J92" s="40" t="s">
        <v>502</v>
      </c>
    </row>
    <row r="93" spans="2:10" ht="36" customHeight="1" x14ac:dyDescent="0.2">
      <c r="B93" s="32">
        <v>54</v>
      </c>
      <c r="C93" s="2" t="s">
        <v>254</v>
      </c>
      <c r="D93" s="36">
        <v>5</v>
      </c>
      <c r="E93" s="37"/>
      <c r="F93" s="33"/>
      <c r="G93" s="38" t="str">
        <f>IF(E93="","❌ Ej påbörjad",IF(E93&gt;D93,"🔵 Överträffad",IF(E93=D93,"🟢 Uppnådd","🟡 Pågående")))</f>
        <v>❌ Ej påbörjad</v>
      </c>
      <c r="H93" s="39" t="s">
        <v>303</v>
      </c>
      <c r="I93" s="35"/>
      <c r="J93" s="40" t="s">
        <v>503</v>
      </c>
    </row>
    <row r="94" spans="2:10" ht="36" customHeight="1" x14ac:dyDescent="0.2">
      <c r="B94" s="32">
        <v>55</v>
      </c>
      <c r="C94" s="2" t="s">
        <v>255</v>
      </c>
      <c r="D94" s="36">
        <v>4</v>
      </c>
      <c r="E94" s="37"/>
      <c r="F94" s="33"/>
      <c r="G94" s="38" t="str">
        <f>IF(E94="","❌ Ej påbörjad",IF(E94&gt;D94,"🔵 Överträffad",IF(E94=D94,"🟢 Uppnådd","🟡 Pågående")))</f>
        <v>❌ Ej påbörjad</v>
      </c>
      <c r="H94" s="39" t="s">
        <v>303</v>
      </c>
      <c r="I94" s="35"/>
      <c r="J94" s="40" t="s">
        <v>504</v>
      </c>
    </row>
    <row r="96" spans="2:10" ht="27.75" customHeight="1" x14ac:dyDescent="0.2">
      <c r="B96" s="103" t="s">
        <v>122</v>
      </c>
      <c r="C96" s="103"/>
      <c r="D96" s="41">
        <f>COUNTA(D34:D94)</f>
        <v>55</v>
      </c>
      <c r="E96" s="42"/>
      <c r="F96" s="42"/>
      <c r="G96" s="43">
        <f>COUNTIF(G34:G94,"🟢 Uppnådd") + COUNTIF(G34:G94,"🔵 Överträffad")</f>
        <v>0</v>
      </c>
      <c r="H96" s="42"/>
      <c r="I96" s="42"/>
      <c r="J96" s="42"/>
    </row>
    <row r="97" spans="2:10" ht="15" customHeight="1" x14ac:dyDescent="0.2">
      <c r="B97" s="104" t="s">
        <v>123</v>
      </c>
      <c r="C97" s="104"/>
      <c r="D97" s="44">
        <f>IF(D96=0,0,G96/D96)</f>
        <v>0</v>
      </c>
      <c r="E97" s="45"/>
      <c r="F97" s="45"/>
      <c r="G97" s="45"/>
      <c r="H97" s="45"/>
      <c r="I97" s="45"/>
      <c r="J97" s="45"/>
    </row>
  </sheetData>
  <mergeCells count="37">
    <mergeCell ref="B69:J69"/>
    <mergeCell ref="B82:J82"/>
    <mergeCell ref="B96:C96"/>
    <mergeCell ref="B97:C97"/>
    <mergeCell ref="C29:G29"/>
    <mergeCell ref="B32:J32"/>
    <mergeCell ref="B34:J34"/>
    <mergeCell ref="B46:J46"/>
    <mergeCell ref="B60:J60"/>
    <mergeCell ref="B90:J90"/>
    <mergeCell ref="C24:G24"/>
    <mergeCell ref="C25:G25"/>
    <mergeCell ref="C26:G26"/>
    <mergeCell ref="C27:G27"/>
    <mergeCell ref="C28:G28"/>
    <mergeCell ref="C17:G17"/>
    <mergeCell ref="C18:G18"/>
    <mergeCell ref="C19:G19"/>
    <mergeCell ref="C21:G21"/>
    <mergeCell ref="B23:J23"/>
    <mergeCell ref="C20:G20"/>
    <mergeCell ref="B12:J12"/>
    <mergeCell ref="C13:G13"/>
    <mergeCell ref="C14:G14"/>
    <mergeCell ref="C15:G15"/>
    <mergeCell ref="C16:G16"/>
    <mergeCell ref="B6:C6"/>
    <mergeCell ref="D6:J6"/>
    <mergeCell ref="B8:J8"/>
    <mergeCell ref="C9:G9"/>
    <mergeCell ref="C10:G10"/>
    <mergeCell ref="B2:J2"/>
    <mergeCell ref="B3:J3"/>
    <mergeCell ref="B4:C4"/>
    <mergeCell ref="D4:J4"/>
    <mergeCell ref="B5:C5"/>
    <mergeCell ref="D5:J5"/>
  </mergeCells>
  <conditionalFormatting sqref="G34:G94">
    <cfRule type="cellIs" dxfId="54" priority="11" operator="equal">
      <formula>"❌ Ej påbörjad"</formula>
    </cfRule>
    <cfRule type="cellIs" dxfId="53" priority="12" operator="equal">
      <formula>"🟡 Pågående"</formula>
    </cfRule>
    <cfRule type="cellIs" dxfId="52" priority="13" operator="equal">
      <formula>"🟢 Uppnådd"</formula>
    </cfRule>
    <cfRule type="cellIs" dxfId="51" priority="14" operator="equal">
      <formula>"🔵 Överträffad"</formula>
    </cfRule>
  </conditionalFormatting>
  <conditionalFormatting sqref="I10">
    <cfRule type="cellIs" dxfId="50" priority="2" operator="equal">
      <formula>"❌ Ej påbörjad"</formula>
    </cfRule>
    <cfRule type="cellIs" dxfId="49" priority="3" operator="equal">
      <formula>"🟡 Pågående"</formula>
    </cfRule>
    <cfRule type="cellIs" dxfId="48" priority="4" operator="equal">
      <formula>"🟢 Klar"</formula>
    </cfRule>
  </conditionalFormatting>
  <conditionalFormatting sqref="I14:I21">
    <cfRule type="cellIs" dxfId="47" priority="5" operator="equal">
      <formula>"❌ Ej påbörjad"</formula>
    </cfRule>
    <cfRule type="cellIs" dxfId="46" priority="6" operator="equal">
      <formula>"🟡 Pågående"</formula>
    </cfRule>
    <cfRule type="cellIs" dxfId="45" priority="7" operator="equal">
      <formula>"🟢 Klar"</formula>
    </cfRule>
  </conditionalFormatting>
  <conditionalFormatting sqref="I25:I29">
    <cfRule type="cellIs" dxfId="44" priority="8" operator="equal">
      <formula>"❌ Ej påbörjad"</formula>
    </cfRule>
    <cfRule type="cellIs" dxfId="43" priority="9" operator="equal">
      <formula>"🟡 Pågående"</formula>
    </cfRule>
    <cfRule type="cellIs" dxfId="42" priority="10" operator="equal">
      <formula>"🟢 Klar"</formula>
    </cfRule>
  </conditionalFormatting>
  <dataValidations count="3">
    <dataValidation type="list" allowBlank="1" sqref="I10 I25:I29 I14:I21" xr:uid="{00000000-0002-0000-0200-000000000000}">
      <formula1>"❌ Ej påbörjad,🟡 Pågående,🟢 Klar"</formula1>
      <formula2>0</formula2>
    </dataValidation>
    <dataValidation type="list" allowBlank="1" errorTitle="Ogiltig nivå" error="Ange 1-5" sqref="E34:E94" xr:uid="{00000000-0002-0000-0200-000003000000}">
      <formula1>"1,2,3,4,5"</formula1>
      <formula2>0</formula2>
    </dataValidation>
    <dataValidation type="date" allowBlank="1" promptTitle="Datum uppnått" prompt="Ctrl+; för dagens datum._x000a_Fylls i automatiskt vid självskattning &gt;= målnivå (om VBA aktivt)." sqref="F34:F94" xr:uid="{00000000-0002-0000-0200-000004000000}">
      <formula1>2000-1-1</formula1>
      <formula2>2100-12-31</formula2>
    </dataValidation>
  </dataValidations>
  <pageMargins left="0.75" right="0.75" top="1" bottom="1" header="0.511811023622047" footer="0.511811023622047"/>
  <pageSetup paperSize="9" orientation="landscape" horizontalDpi="300" verticalDpi="300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6CD7E-8BD6-794E-9E61-337A670FC076}">
  <sheetPr codeName="Blad4">
    <tabColor rgb="FFC00000"/>
  </sheetPr>
  <dimension ref="B2:K64"/>
  <sheetViews>
    <sheetView showGridLines="0" zoomScale="85" zoomScaleNormal="100" workbookViewId="0">
      <selection activeCell="J16" sqref="J16"/>
    </sheetView>
  </sheetViews>
  <sheetFormatPr baseColWidth="10" defaultColWidth="8.6640625" defaultRowHeight="15" x14ac:dyDescent="0.2"/>
  <cols>
    <col min="1" max="1" width="3" customWidth="1"/>
    <col min="2" max="2" width="4" customWidth="1"/>
    <col min="3" max="3" width="96.6640625" customWidth="1"/>
    <col min="4" max="4" width="7" customWidth="1"/>
    <col min="5" max="5" width="9" customWidth="1"/>
    <col min="6" max="6" width="11" customWidth="1"/>
    <col min="7" max="8" width="13" customWidth="1"/>
    <col min="9" max="9" width="26" customWidth="1"/>
    <col min="10" max="10" width="18" customWidth="1"/>
    <col min="11" max="11" width="29.83203125" customWidth="1"/>
    <col min="12" max="12" width="3" customWidth="1"/>
  </cols>
  <sheetData>
    <row r="2" spans="2:11" ht="31.5" customHeight="1" x14ac:dyDescent="0.2">
      <c r="B2" s="106" t="s">
        <v>42</v>
      </c>
      <c r="C2" s="106"/>
      <c r="D2" s="106"/>
      <c r="E2" s="106"/>
      <c r="F2" s="106"/>
      <c r="G2" s="106"/>
      <c r="H2" s="106"/>
      <c r="I2" s="106"/>
      <c r="J2" s="106"/>
      <c r="K2" s="106"/>
    </row>
    <row r="3" spans="2:11" ht="30" customHeight="1" x14ac:dyDescent="0.2">
      <c r="B3" s="79" t="s">
        <v>1315</v>
      </c>
      <c r="C3" s="79"/>
      <c r="D3" s="79"/>
      <c r="E3" s="79"/>
      <c r="F3" s="79"/>
      <c r="G3" s="79"/>
      <c r="H3" s="79"/>
      <c r="I3" s="79"/>
      <c r="J3" s="79"/>
      <c r="K3" s="79"/>
    </row>
    <row r="4" spans="2:11" ht="21.75" customHeight="1" x14ac:dyDescent="0.2">
      <c r="B4" s="96" t="s">
        <v>48</v>
      </c>
      <c r="C4" s="96"/>
      <c r="D4" s="97" t="s">
        <v>326</v>
      </c>
      <c r="E4" s="97"/>
      <c r="F4" s="97"/>
      <c r="G4" s="97"/>
      <c r="H4" s="97"/>
      <c r="I4" s="97"/>
      <c r="J4" s="97"/>
      <c r="K4" s="97"/>
    </row>
    <row r="5" spans="2:11" ht="21.75" customHeight="1" x14ac:dyDescent="0.2">
      <c r="B5" s="96" t="s">
        <v>50</v>
      </c>
      <c r="C5" s="96"/>
      <c r="D5" s="97" t="s">
        <v>124</v>
      </c>
      <c r="E5" s="97"/>
      <c r="F5" s="97"/>
      <c r="G5" s="97"/>
      <c r="H5" s="97"/>
      <c r="I5" s="97"/>
      <c r="J5" s="97"/>
      <c r="K5" s="97"/>
    </row>
    <row r="6" spans="2:11" ht="30" customHeight="1" x14ac:dyDescent="0.2">
      <c r="B6" s="96" t="s">
        <v>339</v>
      </c>
      <c r="C6" s="96"/>
      <c r="D6" s="97" t="s">
        <v>423</v>
      </c>
      <c r="E6" s="97"/>
      <c r="F6" s="97"/>
      <c r="G6" s="97"/>
      <c r="H6" s="97"/>
      <c r="I6" s="97"/>
      <c r="J6" s="97"/>
      <c r="K6" s="97"/>
    </row>
    <row r="8" spans="2:11" ht="21.75" customHeight="1" x14ac:dyDescent="0.2">
      <c r="B8" s="107" t="s">
        <v>51</v>
      </c>
      <c r="C8" s="107"/>
      <c r="D8" s="107"/>
      <c r="E8" s="107"/>
      <c r="F8" s="107"/>
      <c r="G8" s="107"/>
      <c r="H8" s="107"/>
      <c r="I8" s="107"/>
      <c r="J8" s="107"/>
      <c r="K8" s="107"/>
    </row>
    <row r="9" spans="2:11" ht="21.75" customHeight="1" x14ac:dyDescent="0.2">
      <c r="B9" s="1"/>
      <c r="C9" s="99" t="s">
        <v>52</v>
      </c>
      <c r="D9" s="99"/>
      <c r="E9" s="99"/>
      <c r="F9" s="99"/>
      <c r="G9" s="99"/>
      <c r="H9" s="1"/>
      <c r="I9" s="1" t="s">
        <v>53</v>
      </c>
      <c r="J9" s="1" t="s">
        <v>41</v>
      </c>
      <c r="K9" s="1" t="s">
        <v>54</v>
      </c>
    </row>
    <row r="10" spans="2:11" ht="27.75" customHeight="1" x14ac:dyDescent="0.2">
      <c r="B10" s="32">
        <v>1</v>
      </c>
      <c r="C10" s="77" t="s">
        <v>125</v>
      </c>
      <c r="D10" s="77"/>
      <c r="E10" s="77"/>
      <c r="F10" s="77"/>
      <c r="G10" s="77"/>
      <c r="H10" s="2"/>
      <c r="I10" s="33"/>
      <c r="J10" s="34"/>
      <c r="K10" s="35"/>
    </row>
    <row r="12" spans="2:11" ht="21.75" customHeight="1" x14ac:dyDescent="0.2">
      <c r="B12" s="107" t="s">
        <v>559</v>
      </c>
      <c r="C12" s="107"/>
      <c r="D12" s="107"/>
      <c r="E12" s="107"/>
      <c r="F12" s="107"/>
      <c r="G12" s="107"/>
      <c r="H12" s="107"/>
      <c r="I12" s="107"/>
      <c r="J12" s="107"/>
      <c r="K12" s="107"/>
    </row>
    <row r="13" spans="2:11" ht="21.75" customHeight="1" x14ac:dyDescent="0.2">
      <c r="B13" s="1"/>
      <c r="C13" s="99" t="s">
        <v>340</v>
      </c>
      <c r="D13" s="99"/>
      <c r="E13" s="99"/>
      <c r="F13" s="99"/>
      <c r="G13" s="99"/>
      <c r="H13" s="1" t="s">
        <v>337</v>
      </c>
      <c r="I13" s="1" t="s">
        <v>53</v>
      </c>
      <c r="J13" s="1" t="s">
        <v>41</v>
      </c>
      <c r="K13" s="1" t="s">
        <v>54</v>
      </c>
    </row>
    <row r="14" spans="2:11" ht="56" customHeight="1" x14ac:dyDescent="0.2">
      <c r="B14" s="32">
        <v>1</v>
      </c>
      <c r="C14" s="77" t="s">
        <v>1316</v>
      </c>
      <c r="D14" s="77"/>
      <c r="E14" s="77"/>
      <c r="F14" s="77"/>
      <c r="G14" s="77"/>
      <c r="H14" s="2">
        <v>3</v>
      </c>
      <c r="I14" s="33"/>
      <c r="J14" s="34"/>
      <c r="K14" s="35"/>
    </row>
    <row r="15" spans="2:11" ht="68" customHeight="1" x14ac:dyDescent="0.2">
      <c r="B15" s="32">
        <v>2</v>
      </c>
      <c r="C15" s="77" t="s">
        <v>1317</v>
      </c>
      <c r="D15" s="77"/>
      <c r="E15" s="77"/>
      <c r="F15" s="77"/>
      <c r="G15" s="77"/>
      <c r="H15" s="2">
        <v>5</v>
      </c>
      <c r="I15" s="33"/>
      <c r="J15" s="34"/>
      <c r="K15" s="35"/>
    </row>
    <row r="16" spans="2:11" ht="56" customHeight="1" x14ac:dyDescent="0.2">
      <c r="B16" s="32">
        <v>3</v>
      </c>
      <c r="C16" s="77" t="s">
        <v>1318</v>
      </c>
      <c r="D16" s="77"/>
      <c r="E16" s="77"/>
      <c r="F16" s="77"/>
      <c r="G16" s="77"/>
      <c r="H16" s="2">
        <v>2</v>
      </c>
      <c r="I16" s="33"/>
      <c r="J16" s="34"/>
      <c r="K16" s="35"/>
    </row>
    <row r="17" spans="2:11" ht="56" customHeight="1" x14ac:dyDescent="0.2">
      <c r="B17" s="32">
        <v>4</v>
      </c>
      <c r="C17" s="77" t="s">
        <v>1319</v>
      </c>
      <c r="D17" s="77"/>
      <c r="E17" s="77"/>
      <c r="F17" s="77"/>
      <c r="G17" s="77"/>
      <c r="H17" s="2">
        <v>5</v>
      </c>
      <c r="I17" s="33"/>
      <c r="J17" s="34"/>
      <c r="K17" s="35"/>
    </row>
    <row r="18" spans="2:11" ht="56" customHeight="1" x14ac:dyDescent="0.2">
      <c r="B18" s="32">
        <v>5</v>
      </c>
      <c r="C18" s="77" t="s">
        <v>1320</v>
      </c>
      <c r="D18" s="77"/>
      <c r="E18" s="77"/>
      <c r="F18" s="77"/>
      <c r="G18" s="77"/>
      <c r="H18" s="2">
        <v>5</v>
      </c>
      <c r="I18" s="33"/>
      <c r="J18" s="34"/>
      <c r="K18" s="35"/>
    </row>
    <row r="19" spans="2:11" ht="56" customHeight="1" x14ac:dyDescent="0.2">
      <c r="B19" s="32">
        <v>6</v>
      </c>
      <c r="C19" s="77" t="s">
        <v>1321</v>
      </c>
      <c r="D19" s="77"/>
      <c r="E19" s="77"/>
      <c r="F19" s="77"/>
      <c r="G19" s="77"/>
      <c r="H19" s="2">
        <v>5</v>
      </c>
      <c r="I19" s="33"/>
      <c r="J19" s="34"/>
      <c r="K19" s="35"/>
    </row>
    <row r="20" spans="2:11" ht="56" customHeight="1" x14ac:dyDescent="0.2">
      <c r="B20" s="32">
        <v>7</v>
      </c>
      <c r="C20" s="77" t="s">
        <v>1322</v>
      </c>
      <c r="D20" s="77"/>
      <c r="E20" s="77"/>
      <c r="F20" s="77"/>
      <c r="G20" s="77"/>
      <c r="H20" s="2">
        <v>5</v>
      </c>
      <c r="I20" s="33"/>
      <c r="J20" s="34"/>
      <c r="K20" s="35"/>
    </row>
    <row r="21" spans="2:11" ht="56" customHeight="1" x14ac:dyDescent="0.2">
      <c r="B21" s="32">
        <v>8</v>
      </c>
      <c r="C21" s="77" t="s">
        <v>1323</v>
      </c>
      <c r="D21" s="77"/>
      <c r="E21" s="77"/>
      <c r="F21" s="77"/>
      <c r="G21" s="77"/>
      <c r="H21" s="2">
        <v>5</v>
      </c>
      <c r="I21" s="33"/>
      <c r="J21" s="34"/>
      <c r="K21" s="35"/>
    </row>
    <row r="22" spans="2:11" ht="56" customHeight="1" x14ac:dyDescent="0.2">
      <c r="B22" s="32">
        <v>9</v>
      </c>
      <c r="C22" s="77" t="s">
        <v>1324</v>
      </c>
      <c r="D22" s="77"/>
      <c r="E22" s="77"/>
      <c r="F22" s="77"/>
      <c r="G22" s="77"/>
      <c r="H22" s="2">
        <v>5</v>
      </c>
      <c r="I22" s="33"/>
      <c r="J22" s="34"/>
      <c r="K22" s="35"/>
    </row>
    <row r="25" spans="2:11" ht="27.75" customHeight="1" x14ac:dyDescent="0.2">
      <c r="B25" s="105" t="s">
        <v>558</v>
      </c>
      <c r="C25" s="105"/>
      <c r="D25" s="105"/>
      <c r="E25" s="105"/>
      <c r="F25" s="105"/>
      <c r="G25" s="105"/>
      <c r="H25" s="105"/>
      <c r="I25" s="105"/>
      <c r="J25" s="105"/>
      <c r="K25" s="105"/>
    </row>
    <row r="26" spans="2:11" ht="31.5" customHeight="1" x14ac:dyDescent="0.2">
      <c r="B26" s="1" t="s">
        <v>64</v>
      </c>
      <c r="C26" s="1" t="s">
        <v>52</v>
      </c>
      <c r="D26" s="1" t="s">
        <v>65</v>
      </c>
      <c r="E26" s="1" t="s">
        <v>66</v>
      </c>
      <c r="F26" s="1" t="s">
        <v>67</v>
      </c>
      <c r="G26" s="1" t="s">
        <v>41</v>
      </c>
      <c r="H26" s="1"/>
      <c r="I26" s="1" t="s">
        <v>68</v>
      </c>
      <c r="J26" s="1" t="s">
        <v>69</v>
      </c>
      <c r="K26" s="1" t="s">
        <v>338</v>
      </c>
    </row>
    <row r="27" spans="2:11" ht="24" customHeight="1" x14ac:dyDescent="0.2">
      <c r="B27" s="75" t="s">
        <v>70</v>
      </c>
      <c r="C27" s="75"/>
      <c r="D27" s="75"/>
      <c r="E27" s="75"/>
      <c r="F27" s="75"/>
      <c r="G27" s="75"/>
      <c r="H27" s="75"/>
      <c r="I27" s="75"/>
      <c r="J27" s="75"/>
      <c r="K27" s="75"/>
    </row>
    <row r="28" spans="2:11" ht="36" customHeight="1" x14ac:dyDescent="0.2">
      <c r="B28" s="32">
        <v>1</v>
      </c>
      <c r="C28" s="2" t="s">
        <v>327</v>
      </c>
      <c r="D28" s="36">
        <v>5</v>
      </c>
      <c r="E28" s="37"/>
      <c r="F28" s="33"/>
      <c r="G28" s="38" t="str">
        <f t="shared" ref="G28:G37" si="0">IF(E28="","❌ Ej påbörjad",IF(E28&gt;D28,"🔵 Överträffad",IF(E28=D28,"🟢 Uppnådd","🟡 Pågående")))</f>
        <v>❌ Ej påbörjad</v>
      </c>
      <c r="H28" s="38"/>
      <c r="I28" s="39" t="s">
        <v>309</v>
      </c>
      <c r="J28" s="35"/>
      <c r="K28" s="40" t="s">
        <v>392</v>
      </c>
    </row>
    <row r="29" spans="2:11" ht="36" customHeight="1" x14ac:dyDescent="0.2">
      <c r="B29" s="32">
        <v>2</v>
      </c>
      <c r="C29" s="2" t="s">
        <v>126</v>
      </c>
      <c r="D29" s="36">
        <v>5</v>
      </c>
      <c r="E29" s="37"/>
      <c r="F29" s="33"/>
      <c r="G29" s="38" t="str">
        <f t="shared" si="0"/>
        <v>❌ Ej påbörjad</v>
      </c>
      <c r="H29" s="38"/>
      <c r="I29" s="39" t="s">
        <v>309</v>
      </c>
      <c r="J29" s="35"/>
      <c r="K29" s="40" t="s">
        <v>393</v>
      </c>
    </row>
    <row r="30" spans="2:11" ht="36" customHeight="1" x14ac:dyDescent="0.2">
      <c r="B30" s="32">
        <v>3</v>
      </c>
      <c r="C30" s="2" t="s">
        <v>127</v>
      </c>
      <c r="D30" s="36">
        <v>5</v>
      </c>
      <c r="E30" s="37"/>
      <c r="F30" s="33"/>
      <c r="G30" s="38" t="str">
        <f t="shared" si="0"/>
        <v>❌ Ej påbörjad</v>
      </c>
      <c r="H30" s="38"/>
      <c r="I30" s="39" t="s">
        <v>309</v>
      </c>
      <c r="J30" s="35"/>
      <c r="K30" s="40" t="s">
        <v>394</v>
      </c>
    </row>
    <row r="31" spans="2:11" ht="36" customHeight="1" x14ac:dyDescent="0.2">
      <c r="B31" s="32">
        <v>4</v>
      </c>
      <c r="C31" s="2" t="s">
        <v>128</v>
      </c>
      <c r="D31" s="36">
        <v>5</v>
      </c>
      <c r="E31" s="37"/>
      <c r="F31" s="33"/>
      <c r="G31" s="38" t="str">
        <f t="shared" si="0"/>
        <v>❌ Ej påbörjad</v>
      </c>
      <c r="H31" s="38"/>
      <c r="I31" s="39" t="s">
        <v>309</v>
      </c>
      <c r="J31" s="35"/>
      <c r="K31" s="40" t="s">
        <v>395</v>
      </c>
    </row>
    <row r="32" spans="2:11" ht="36" customHeight="1" x14ac:dyDescent="0.2">
      <c r="B32" s="32">
        <v>5</v>
      </c>
      <c r="C32" s="2" t="s">
        <v>129</v>
      </c>
      <c r="D32" s="36">
        <v>5</v>
      </c>
      <c r="E32" s="37"/>
      <c r="F32" s="33"/>
      <c r="G32" s="38" t="str">
        <f t="shared" si="0"/>
        <v>❌ Ej påbörjad</v>
      </c>
      <c r="H32" s="38"/>
      <c r="I32" s="39" t="s">
        <v>309</v>
      </c>
      <c r="J32" s="35"/>
      <c r="K32" s="40" t="s">
        <v>396</v>
      </c>
    </row>
    <row r="33" spans="2:11" ht="36" customHeight="1" x14ac:dyDescent="0.2">
      <c r="B33" s="32">
        <v>6</v>
      </c>
      <c r="C33" s="2" t="s">
        <v>130</v>
      </c>
      <c r="D33" s="36">
        <v>5</v>
      </c>
      <c r="E33" s="37"/>
      <c r="F33" s="33"/>
      <c r="G33" s="38" t="str">
        <f t="shared" si="0"/>
        <v>❌ Ej påbörjad</v>
      </c>
      <c r="H33" s="38"/>
      <c r="I33" s="39" t="s">
        <v>309</v>
      </c>
      <c r="J33" s="35"/>
      <c r="K33" s="40" t="s">
        <v>397</v>
      </c>
    </row>
    <row r="34" spans="2:11" ht="36" customHeight="1" x14ac:dyDescent="0.2">
      <c r="B34" s="32">
        <v>7</v>
      </c>
      <c r="C34" s="2" t="s">
        <v>131</v>
      </c>
      <c r="D34" s="36">
        <v>5</v>
      </c>
      <c r="E34" s="37"/>
      <c r="F34" s="33"/>
      <c r="G34" s="38" t="str">
        <f t="shared" si="0"/>
        <v>❌ Ej påbörjad</v>
      </c>
      <c r="H34" s="38"/>
      <c r="I34" s="39" t="s">
        <v>309</v>
      </c>
      <c r="J34" s="35"/>
      <c r="K34" s="40" t="s">
        <v>398</v>
      </c>
    </row>
    <row r="35" spans="2:11" ht="36" customHeight="1" x14ac:dyDescent="0.2">
      <c r="B35" s="32">
        <v>8</v>
      </c>
      <c r="C35" s="2" t="s">
        <v>330</v>
      </c>
      <c r="D35" s="36">
        <v>5</v>
      </c>
      <c r="E35" s="37"/>
      <c r="F35" s="33"/>
      <c r="G35" s="38" t="str">
        <f t="shared" si="0"/>
        <v>❌ Ej påbörjad</v>
      </c>
      <c r="H35" s="38"/>
      <c r="I35" s="39" t="s">
        <v>309</v>
      </c>
      <c r="J35" s="35"/>
      <c r="K35" s="40" t="s">
        <v>399</v>
      </c>
    </row>
    <row r="36" spans="2:11" ht="36" customHeight="1" x14ac:dyDescent="0.2">
      <c r="B36" s="32">
        <v>9</v>
      </c>
      <c r="C36" s="2" t="s">
        <v>328</v>
      </c>
      <c r="D36" s="36">
        <v>5</v>
      </c>
      <c r="E36" s="37"/>
      <c r="F36" s="33"/>
      <c r="G36" s="38" t="str">
        <f t="shared" si="0"/>
        <v>❌ Ej påbörjad</v>
      </c>
      <c r="H36" s="38"/>
      <c r="I36" s="39" t="s">
        <v>309</v>
      </c>
      <c r="J36" s="35"/>
      <c r="K36" s="40" t="s">
        <v>400</v>
      </c>
    </row>
    <row r="37" spans="2:11" ht="36" customHeight="1" x14ac:dyDescent="0.2">
      <c r="B37" s="32">
        <v>10</v>
      </c>
      <c r="C37" s="2" t="s">
        <v>132</v>
      </c>
      <c r="D37" s="36">
        <v>5</v>
      </c>
      <c r="E37" s="37"/>
      <c r="F37" s="33"/>
      <c r="G37" s="38" t="str">
        <f t="shared" si="0"/>
        <v>❌ Ej påbörjad</v>
      </c>
      <c r="H37" s="38"/>
      <c r="I37" s="39" t="s">
        <v>309</v>
      </c>
      <c r="J37" s="35"/>
      <c r="K37" s="40" t="s">
        <v>401</v>
      </c>
    </row>
    <row r="38" spans="2:11" ht="24" customHeight="1" x14ac:dyDescent="0.2">
      <c r="B38" s="75" t="s">
        <v>84</v>
      </c>
      <c r="C38" s="75"/>
      <c r="D38" s="75"/>
      <c r="E38" s="75"/>
      <c r="F38" s="75"/>
      <c r="G38" s="75"/>
      <c r="H38" s="75"/>
      <c r="I38" s="75"/>
      <c r="J38" s="75"/>
      <c r="K38" s="75"/>
    </row>
    <row r="39" spans="2:11" ht="36" customHeight="1" x14ac:dyDescent="0.2">
      <c r="B39" s="32">
        <v>11</v>
      </c>
      <c r="C39" s="2" t="s">
        <v>133</v>
      </c>
      <c r="D39" s="36">
        <v>5</v>
      </c>
      <c r="E39" s="37"/>
      <c r="F39" s="33"/>
      <c r="G39" s="38" t="str">
        <f t="shared" ref="G39:G44" si="1">IF(E39="","❌ Ej påbörjad",IF(E39&gt;D39,"🔵 Överträffad",IF(E39=D39,"🟢 Uppnådd","🟡 Pågående")))</f>
        <v>❌ Ej påbörjad</v>
      </c>
      <c r="H39" s="38"/>
      <c r="I39" s="39" t="s">
        <v>309</v>
      </c>
      <c r="J39" s="35"/>
      <c r="K39" s="40" t="s">
        <v>402</v>
      </c>
    </row>
    <row r="40" spans="2:11" ht="36" customHeight="1" x14ac:dyDescent="0.2">
      <c r="B40" s="32">
        <v>12</v>
      </c>
      <c r="C40" s="2" t="s">
        <v>134</v>
      </c>
      <c r="D40" s="36">
        <v>4</v>
      </c>
      <c r="E40" s="37"/>
      <c r="F40" s="33"/>
      <c r="G40" s="38" t="str">
        <f t="shared" si="1"/>
        <v>❌ Ej påbörjad</v>
      </c>
      <c r="H40" s="38"/>
      <c r="I40" s="39" t="s">
        <v>309</v>
      </c>
      <c r="J40" s="35"/>
      <c r="K40" s="40" t="s">
        <v>403</v>
      </c>
    </row>
    <row r="41" spans="2:11" ht="36" customHeight="1" x14ac:dyDescent="0.2">
      <c r="B41" s="32">
        <v>13</v>
      </c>
      <c r="C41" s="2" t="s">
        <v>135</v>
      </c>
      <c r="D41" s="36">
        <v>5</v>
      </c>
      <c r="E41" s="37"/>
      <c r="F41" s="33"/>
      <c r="G41" s="38" t="str">
        <f t="shared" si="1"/>
        <v>❌ Ej påbörjad</v>
      </c>
      <c r="H41" s="38"/>
      <c r="I41" s="39" t="s">
        <v>309</v>
      </c>
      <c r="J41" s="35"/>
      <c r="K41" s="40" t="s">
        <v>404</v>
      </c>
    </row>
    <row r="42" spans="2:11" ht="36" customHeight="1" x14ac:dyDescent="0.2">
      <c r="B42" s="32">
        <v>14</v>
      </c>
      <c r="C42" s="2" t="s">
        <v>136</v>
      </c>
      <c r="D42" s="36">
        <v>5</v>
      </c>
      <c r="E42" s="37"/>
      <c r="F42" s="33"/>
      <c r="G42" s="38" t="str">
        <f t="shared" si="1"/>
        <v>❌ Ej påbörjad</v>
      </c>
      <c r="H42" s="38"/>
      <c r="I42" s="39" t="s">
        <v>309</v>
      </c>
      <c r="J42" s="35"/>
      <c r="K42" s="40" t="s">
        <v>405</v>
      </c>
    </row>
    <row r="43" spans="2:11" ht="36" customHeight="1" x14ac:dyDescent="0.2">
      <c r="B43" s="32">
        <v>15</v>
      </c>
      <c r="C43" s="2" t="s">
        <v>137</v>
      </c>
      <c r="D43" s="36">
        <v>5</v>
      </c>
      <c r="E43" s="37"/>
      <c r="F43" s="33"/>
      <c r="G43" s="38" t="str">
        <f t="shared" si="1"/>
        <v>❌ Ej påbörjad</v>
      </c>
      <c r="H43" s="38"/>
      <c r="I43" s="39" t="s">
        <v>309</v>
      </c>
      <c r="J43" s="35"/>
      <c r="K43" s="40" t="s">
        <v>406</v>
      </c>
    </row>
    <row r="44" spans="2:11" ht="36" customHeight="1" x14ac:dyDescent="0.2">
      <c r="B44" s="32">
        <v>16</v>
      </c>
      <c r="C44" s="2" t="s">
        <v>138</v>
      </c>
      <c r="D44" s="36">
        <v>5</v>
      </c>
      <c r="E44" s="37"/>
      <c r="F44" s="33"/>
      <c r="G44" s="38" t="str">
        <f t="shared" si="1"/>
        <v>❌ Ej påbörjad</v>
      </c>
      <c r="H44" s="38"/>
      <c r="I44" s="39" t="s">
        <v>309</v>
      </c>
      <c r="J44" s="35"/>
      <c r="K44" s="40" t="s">
        <v>407</v>
      </c>
    </row>
    <row r="45" spans="2:11" ht="24" customHeight="1" x14ac:dyDescent="0.2">
      <c r="B45" s="75" t="s">
        <v>97</v>
      </c>
      <c r="C45" s="75"/>
      <c r="D45" s="75"/>
      <c r="E45" s="75"/>
      <c r="F45" s="75"/>
      <c r="G45" s="75"/>
      <c r="H45" s="75"/>
      <c r="I45" s="75"/>
      <c r="J45" s="75"/>
      <c r="K45" s="75"/>
    </row>
    <row r="46" spans="2:11" ht="36" customHeight="1" x14ac:dyDescent="0.2">
      <c r="B46" s="32">
        <v>17</v>
      </c>
      <c r="C46" s="2" t="s">
        <v>139</v>
      </c>
      <c r="D46" s="36">
        <v>5</v>
      </c>
      <c r="E46" s="37"/>
      <c r="F46" s="33"/>
      <c r="G46" s="38" t="str">
        <f>IF(E46="","❌ Ej påbörjad",IF(E46&gt;D46,"🔵 Överträffad",IF(E46=D46,"🟢 Uppnådd","🟡 Pågående")))</f>
        <v>❌ Ej påbörjad</v>
      </c>
      <c r="H46" s="38"/>
      <c r="I46" s="39" t="s">
        <v>302</v>
      </c>
      <c r="J46" s="35"/>
      <c r="K46" s="40" t="s">
        <v>408</v>
      </c>
    </row>
    <row r="47" spans="2:11" ht="36" customHeight="1" x14ac:dyDescent="0.2">
      <c r="B47" s="32">
        <v>18</v>
      </c>
      <c r="C47" s="2" t="s">
        <v>140</v>
      </c>
      <c r="D47" s="36">
        <v>5</v>
      </c>
      <c r="E47" s="37"/>
      <c r="F47" s="33"/>
      <c r="G47" s="38" t="str">
        <f>IF(E47="","❌ Ej påbörjad",IF(E47&gt;D47,"🔵 Överträffad",IF(E47=D47,"🟢 Uppnådd","🟡 Pågående")))</f>
        <v>❌ Ej påbörjad</v>
      </c>
      <c r="H47" s="38"/>
      <c r="I47" s="39" t="s">
        <v>302</v>
      </c>
      <c r="J47" s="35"/>
      <c r="K47" s="40" t="s">
        <v>409</v>
      </c>
    </row>
    <row r="48" spans="2:11" ht="36" customHeight="1" x14ac:dyDescent="0.2">
      <c r="B48" s="32">
        <v>19</v>
      </c>
      <c r="C48" s="2" t="s">
        <v>141</v>
      </c>
      <c r="D48" s="36">
        <v>5</v>
      </c>
      <c r="E48" s="37"/>
      <c r="F48" s="33"/>
      <c r="G48" s="38" t="str">
        <f>IF(E48="","❌ Ej påbörjad",IF(E48&gt;D48,"🔵 Överträffad",IF(E48=D48,"🟢 Uppnådd","🟡 Pågående")))</f>
        <v>❌ Ej påbörjad</v>
      </c>
      <c r="H48" s="38"/>
      <c r="I48" s="39" t="s">
        <v>302</v>
      </c>
      <c r="J48" s="35"/>
      <c r="K48" s="40" t="s">
        <v>410</v>
      </c>
    </row>
    <row r="49" spans="2:11" ht="36" customHeight="1" x14ac:dyDescent="0.2">
      <c r="B49" s="32">
        <v>20</v>
      </c>
      <c r="C49" s="2" t="s">
        <v>329</v>
      </c>
      <c r="D49" s="36">
        <v>4</v>
      </c>
      <c r="E49" s="37"/>
      <c r="F49" s="33"/>
      <c r="G49" s="38" t="str">
        <f>IF(E49="","❌ Ej påbörjad",IF(E49&gt;D49,"🔵 Överträffad",IF(E49=D49,"🟢 Uppnådd","🟡 Pågående")))</f>
        <v>❌ Ej påbörjad</v>
      </c>
      <c r="H49" s="38"/>
      <c r="I49" s="39" t="s">
        <v>302</v>
      </c>
      <c r="J49" s="35"/>
      <c r="K49" s="40" t="s">
        <v>411</v>
      </c>
    </row>
    <row r="50" spans="2:11" ht="24" customHeight="1" x14ac:dyDescent="0.2">
      <c r="B50" s="75" t="s">
        <v>106</v>
      </c>
      <c r="C50" s="75"/>
      <c r="D50" s="75"/>
      <c r="E50" s="75"/>
      <c r="F50" s="75"/>
      <c r="G50" s="75"/>
      <c r="H50" s="75"/>
      <c r="I50" s="75"/>
      <c r="J50" s="75"/>
      <c r="K50" s="75"/>
    </row>
    <row r="51" spans="2:11" ht="36" customHeight="1" x14ac:dyDescent="0.2">
      <c r="B51" s="32">
        <v>21</v>
      </c>
      <c r="C51" s="2" t="s">
        <v>142</v>
      </c>
      <c r="D51" s="36">
        <v>5</v>
      </c>
      <c r="E51" s="37"/>
      <c r="F51" s="33"/>
      <c r="G51" s="38" t="str">
        <f t="shared" ref="G51:G61" si="2">IF(E51="","❌ Ej påbörjad",IF(E51&gt;D51,"🔵 Överträffad",IF(E51=D51,"🟢 Uppnådd","🟡 Pågående")))</f>
        <v>❌ Ej påbörjad</v>
      </c>
      <c r="H51" s="38"/>
      <c r="I51" s="39" t="s">
        <v>303</v>
      </c>
      <c r="J51" s="35"/>
      <c r="K51" s="40" t="s">
        <v>412</v>
      </c>
    </row>
    <row r="52" spans="2:11" ht="36" customHeight="1" x14ac:dyDescent="0.2">
      <c r="B52" s="32">
        <v>22</v>
      </c>
      <c r="C52" s="2" t="s">
        <v>331</v>
      </c>
      <c r="D52" s="36">
        <v>5</v>
      </c>
      <c r="E52" s="37"/>
      <c r="F52" s="33"/>
      <c r="G52" s="38" t="str">
        <f t="shared" si="2"/>
        <v>❌ Ej påbörjad</v>
      </c>
      <c r="H52" s="38"/>
      <c r="I52" s="39" t="s">
        <v>303</v>
      </c>
      <c r="J52" s="35"/>
      <c r="K52" s="40" t="s">
        <v>413</v>
      </c>
    </row>
    <row r="53" spans="2:11" ht="36" customHeight="1" x14ac:dyDescent="0.2">
      <c r="B53" s="32">
        <v>23</v>
      </c>
      <c r="C53" s="2" t="s">
        <v>332</v>
      </c>
      <c r="D53" s="36">
        <v>5</v>
      </c>
      <c r="E53" s="37"/>
      <c r="F53" s="33"/>
      <c r="G53" s="38" t="str">
        <f t="shared" si="2"/>
        <v>❌ Ej påbörjad</v>
      </c>
      <c r="H53" s="38"/>
      <c r="I53" s="39" t="s">
        <v>303</v>
      </c>
      <c r="J53" s="35"/>
      <c r="K53" s="40" t="s">
        <v>414</v>
      </c>
    </row>
    <row r="54" spans="2:11" ht="36" customHeight="1" x14ac:dyDescent="0.2">
      <c r="B54" s="32">
        <v>24</v>
      </c>
      <c r="C54" s="2" t="s">
        <v>143</v>
      </c>
      <c r="D54" s="36">
        <v>5</v>
      </c>
      <c r="E54" s="37"/>
      <c r="F54" s="33"/>
      <c r="G54" s="38" t="str">
        <f t="shared" si="2"/>
        <v>❌ Ej påbörjad</v>
      </c>
      <c r="H54" s="38"/>
      <c r="I54" s="39" t="s">
        <v>303</v>
      </c>
      <c r="J54" s="35"/>
      <c r="K54" s="40" t="s">
        <v>415</v>
      </c>
    </row>
    <row r="55" spans="2:11" ht="36" customHeight="1" x14ac:dyDescent="0.2">
      <c r="B55" s="32">
        <v>25</v>
      </c>
      <c r="C55" s="2" t="s">
        <v>144</v>
      </c>
      <c r="D55" s="36">
        <v>4</v>
      </c>
      <c r="E55" s="37"/>
      <c r="F55" s="33"/>
      <c r="G55" s="38" t="str">
        <f t="shared" si="2"/>
        <v>❌ Ej påbörjad</v>
      </c>
      <c r="H55" s="38"/>
      <c r="I55" s="39" t="s">
        <v>303</v>
      </c>
      <c r="J55" s="35"/>
      <c r="K55" s="40" t="s">
        <v>416</v>
      </c>
    </row>
    <row r="56" spans="2:11" ht="36" customHeight="1" x14ac:dyDescent="0.2">
      <c r="B56" s="32">
        <v>26</v>
      </c>
      <c r="C56" s="2" t="s">
        <v>145</v>
      </c>
      <c r="D56" s="36">
        <v>5</v>
      </c>
      <c r="E56" s="37"/>
      <c r="F56" s="33"/>
      <c r="G56" s="38" t="str">
        <f t="shared" si="2"/>
        <v>❌ Ej påbörjad</v>
      </c>
      <c r="H56" s="38"/>
      <c r="I56" s="39" t="s">
        <v>303</v>
      </c>
      <c r="J56" s="35"/>
      <c r="K56" s="40" t="s">
        <v>417</v>
      </c>
    </row>
    <row r="57" spans="2:11" ht="36" customHeight="1" x14ac:dyDescent="0.2">
      <c r="B57" s="32">
        <v>27</v>
      </c>
      <c r="C57" s="2" t="s">
        <v>146</v>
      </c>
      <c r="D57" s="36">
        <v>5</v>
      </c>
      <c r="E57" s="37"/>
      <c r="F57" s="33"/>
      <c r="G57" s="38" t="str">
        <f t="shared" si="2"/>
        <v>❌ Ej påbörjad</v>
      </c>
      <c r="H57" s="38"/>
      <c r="I57" s="39" t="s">
        <v>303</v>
      </c>
      <c r="J57" s="35"/>
      <c r="K57" s="40" t="s">
        <v>418</v>
      </c>
    </row>
    <row r="58" spans="2:11" ht="36" customHeight="1" x14ac:dyDescent="0.2">
      <c r="B58" s="32">
        <v>28</v>
      </c>
      <c r="C58" s="2" t="s">
        <v>147</v>
      </c>
      <c r="D58" s="36">
        <v>5</v>
      </c>
      <c r="E58" s="37"/>
      <c r="F58" s="33"/>
      <c r="G58" s="38" t="str">
        <f t="shared" si="2"/>
        <v>❌ Ej påbörjad</v>
      </c>
      <c r="H58" s="38"/>
      <c r="I58" s="39" t="s">
        <v>303</v>
      </c>
      <c r="J58" s="35"/>
      <c r="K58" s="40" t="s">
        <v>419</v>
      </c>
    </row>
    <row r="59" spans="2:11" ht="36" customHeight="1" x14ac:dyDescent="0.2">
      <c r="B59" s="32">
        <v>29</v>
      </c>
      <c r="C59" s="2" t="s">
        <v>148</v>
      </c>
      <c r="D59" s="36">
        <v>5</v>
      </c>
      <c r="E59" s="37"/>
      <c r="F59" s="33"/>
      <c r="G59" s="38" t="str">
        <f t="shared" si="2"/>
        <v>❌ Ej påbörjad</v>
      </c>
      <c r="H59" s="38"/>
      <c r="I59" s="39" t="s">
        <v>303</v>
      </c>
      <c r="J59" s="35"/>
      <c r="K59" s="40" t="s">
        <v>420</v>
      </c>
    </row>
    <row r="60" spans="2:11" ht="36" customHeight="1" x14ac:dyDescent="0.2">
      <c r="B60" s="32">
        <v>30</v>
      </c>
      <c r="C60" s="2" t="s">
        <v>333</v>
      </c>
      <c r="D60" s="36">
        <v>5</v>
      </c>
      <c r="E60" s="37"/>
      <c r="F60" s="33"/>
      <c r="G60" s="38" t="str">
        <f t="shared" si="2"/>
        <v>❌ Ej påbörjad</v>
      </c>
      <c r="H60" s="38"/>
      <c r="I60" s="39" t="s">
        <v>303</v>
      </c>
      <c r="J60" s="35"/>
      <c r="K60" s="40" t="s">
        <v>421</v>
      </c>
    </row>
    <row r="61" spans="2:11" ht="36" customHeight="1" x14ac:dyDescent="0.2">
      <c r="B61" s="32">
        <v>31</v>
      </c>
      <c r="C61" s="2" t="s">
        <v>149</v>
      </c>
      <c r="D61" s="36">
        <v>5</v>
      </c>
      <c r="E61" s="37"/>
      <c r="F61" s="33"/>
      <c r="G61" s="38" t="str">
        <f t="shared" si="2"/>
        <v>❌ Ej påbörjad</v>
      </c>
      <c r="H61" s="38"/>
      <c r="I61" s="39" t="s">
        <v>303</v>
      </c>
      <c r="J61" s="35"/>
      <c r="K61" s="40" t="s">
        <v>422</v>
      </c>
    </row>
    <row r="63" spans="2:11" ht="27.75" customHeight="1" x14ac:dyDescent="0.2">
      <c r="B63" s="103" t="s">
        <v>122</v>
      </c>
      <c r="C63" s="103"/>
      <c r="D63" s="41">
        <f>COUNTA(D27:D61)</f>
        <v>31</v>
      </c>
      <c r="E63" s="42"/>
      <c r="F63" s="42"/>
      <c r="G63" s="43">
        <f>COUNTIF(G27:G61,"🟢 Uppnådd") + COUNTIF(G27:G61,"🔵 Överträffad")</f>
        <v>0</v>
      </c>
      <c r="H63" s="43"/>
      <c r="I63" s="42"/>
      <c r="J63" s="42"/>
      <c r="K63" s="42"/>
    </row>
    <row r="64" spans="2:11" ht="15" customHeight="1" x14ac:dyDescent="0.2">
      <c r="B64" s="104" t="s">
        <v>123</v>
      </c>
      <c r="C64" s="104"/>
      <c r="D64" s="44">
        <f>IF(D63=0,0,G63/D63)</f>
        <v>0</v>
      </c>
      <c r="E64" s="45"/>
      <c r="F64" s="45"/>
      <c r="G64" s="45"/>
      <c r="H64" s="45"/>
      <c r="I64" s="45"/>
      <c r="J64" s="45"/>
      <c r="K64" s="45"/>
    </row>
  </sheetData>
  <mergeCells count="29">
    <mergeCell ref="B63:C63"/>
    <mergeCell ref="B64:C64"/>
    <mergeCell ref="B25:K25"/>
    <mergeCell ref="B27:K27"/>
    <mergeCell ref="B38:K38"/>
    <mergeCell ref="B45:K45"/>
    <mergeCell ref="B50:K50"/>
    <mergeCell ref="C17:G17"/>
    <mergeCell ref="C18:G18"/>
    <mergeCell ref="C19:G19"/>
    <mergeCell ref="C20:G20"/>
    <mergeCell ref="C22:G22"/>
    <mergeCell ref="C21:G21"/>
    <mergeCell ref="B12:K12"/>
    <mergeCell ref="C13:G13"/>
    <mergeCell ref="C14:G14"/>
    <mergeCell ref="C15:G15"/>
    <mergeCell ref="C16:G16"/>
    <mergeCell ref="B6:C6"/>
    <mergeCell ref="D6:K6"/>
    <mergeCell ref="B8:K8"/>
    <mergeCell ref="C9:G9"/>
    <mergeCell ref="C10:G10"/>
    <mergeCell ref="B2:K2"/>
    <mergeCell ref="B3:K3"/>
    <mergeCell ref="B4:C4"/>
    <mergeCell ref="D4:K4"/>
    <mergeCell ref="B5:C5"/>
    <mergeCell ref="D5:K5"/>
  </mergeCells>
  <conditionalFormatting sqref="G27:H61">
    <cfRule type="cellIs" dxfId="41" priority="8" operator="equal">
      <formula>"❌ Ej påbörjad"</formula>
    </cfRule>
    <cfRule type="cellIs" dxfId="40" priority="9" operator="equal">
      <formula>"🟡 Pågående"</formula>
    </cfRule>
    <cfRule type="cellIs" dxfId="39" priority="10" operator="equal">
      <formula>"🟢 Uppnådd"</formula>
    </cfRule>
    <cfRule type="cellIs" dxfId="38" priority="11" operator="equal">
      <formula>"🔵 Överträffad"</formula>
    </cfRule>
  </conditionalFormatting>
  <conditionalFormatting sqref="J10">
    <cfRule type="cellIs" dxfId="37" priority="2" operator="equal">
      <formula>"❌ Ej påbörjad"</formula>
    </cfRule>
    <cfRule type="cellIs" dxfId="36" priority="3" operator="equal">
      <formula>"🟡 Pågående"</formula>
    </cfRule>
    <cfRule type="cellIs" dxfId="35" priority="4" operator="equal">
      <formula>"🟢 Klar"</formula>
    </cfRule>
  </conditionalFormatting>
  <conditionalFormatting sqref="J14:J22">
    <cfRule type="cellIs" dxfId="34" priority="5" operator="equal">
      <formula>"❌ Ej påbörjad"</formula>
    </cfRule>
    <cfRule type="cellIs" dxfId="33" priority="6" operator="equal">
      <formula>"🟡 Pågående"</formula>
    </cfRule>
    <cfRule type="cellIs" dxfId="32" priority="7" operator="equal">
      <formula>"🟢 Klar"</formula>
    </cfRule>
  </conditionalFormatting>
  <dataValidations count="3">
    <dataValidation type="list" allowBlank="1" sqref="J10 J14:J22" xr:uid="{00000000-0002-0000-0300-000000000000}">
      <formula1>"❌ Ej påbörjad,🟡 Pågående,🟢 Klar"</formula1>
      <formula2>0</formula2>
    </dataValidation>
    <dataValidation type="list" allowBlank="1" errorTitle="Ogiltig nivå" error="Ange 1-5" sqref="E27:E61" xr:uid="{00000000-0002-0000-0300-000002000000}">
      <formula1>"1,2,3,4,5"</formula1>
      <formula2>0</formula2>
    </dataValidation>
    <dataValidation type="date" allowBlank="1" promptTitle="Datum uppnått" prompt="Ctrl+; för dagens datum._x000a_Fylls i automatiskt vid självskattning &gt;= målnivå (om VBA aktivt)." sqref="F27:F61" xr:uid="{00000000-0002-0000-0300-000003000000}">
      <formula1>2000-1-1</formula1>
      <formula2>2100-12-31</formula2>
    </dataValidation>
  </dataValidations>
  <pageMargins left="0.75" right="0.75" top="1" bottom="1" header="0.511811023622047" footer="0.511811023622047"/>
  <pageSetup paperSize="9" orientation="landscape" horizontalDpi="300" verticalDpi="300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07B9E-5E40-CC4A-986C-1136AB98CB43}">
  <sheetPr codeName="Blad5">
    <tabColor rgb="FF548235"/>
  </sheetPr>
  <dimension ref="B2:J71"/>
  <sheetViews>
    <sheetView showGridLines="0" zoomScale="93" zoomScaleNormal="100" workbookViewId="0">
      <selection activeCell="C25" sqref="C25:G25"/>
    </sheetView>
  </sheetViews>
  <sheetFormatPr baseColWidth="10" defaultColWidth="8.6640625" defaultRowHeight="15" x14ac:dyDescent="0.2"/>
  <cols>
    <col min="1" max="1" width="3" customWidth="1"/>
    <col min="2" max="2" width="4" customWidth="1"/>
    <col min="3" max="3" width="97" customWidth="1"/>
    <col min="4" max="4" width="7" customWidth="1"/>
    <col min="5" max="5" width="9" customWidth="1"/>
    <col min="6" max="6" width="11" customWidth="1"/>
    <col min="7" max="7" width="13" customWidth="1"/>
    <col min="8" max="8" width="26" customWidth="1"/>
    <col min="9" max="10" width="18" customWidth="1"/>
    <col min="11" max="11" width="3" customWidth="1"/>
  </cols>
  <sheetData>
    <row r="2" spans="2:10" ht="31.5" customHeight="1" x14ac:dyDescent="0.2">
      <c r="B2" s="108" t="s">
        <v>150</v>
      </c>
      <c r="C2" s="108"/>
      <c r="D2" s="108"/>
      <c r="E2" s="108"/>
      <c r="F2" s="108"/>
      <c r="G2" s="108"/>
      <c r="H2" s="108"/>
      <c r="I2" s="108"/>
      <c r="J2" s="108"/>
    </row>
    <row r="3" spans="2:10" ht="30" customHeight="1" x14ac:dyDescent="0.2">
      <c r="B3" s="79" t="s">
        <v>1325</v>
      </c>
      <c r="C3" s="79"/>
      <c r="D3" s="79"/>
      <c r="E3" s="79"/>
      <c r="F3" s="79"/>
      <c r="G3" s="79"/>
      <c r="H3" s="79"/>
      <c r="I3" s="79"/>
      <c r="J3" s="79"/>
    </row>
    <row r="4" spans="2:10" ht="21.75" customHeight="1" x14ac:dyDescent="0.2">
      <c r="B4" s="96" t="s">
        <v>48</v>
      </c>
      <c r="C4" s="96"/>
      <c r="D4" s="97" t="s">
        <v>151</v>
      </c>
      <c r="E4" s="97"/>
      <c r="F4" s="97"/>
      <c r="G4" s="97"/>
      <c r="H4" s="97"/>
      <c r="I4" s="97"/>
      <c r="J4" s="97"/>
    </row>
    <row r="5" spans="2:10" ht="21.75" customHeight="1" x14ac:dyDescent="0.2">
      <c r="B5" s="96" t="s">
        <v>50</v>
      </c>
      <c r="C5" s="96"/>
      <c r="D5" s="97" t="s">
        <v>336</v>
      </c>
      <c r="E5" s="97"/>
      <c r="F5" s="97"/>
      <c r="G5" s="97"/>
      <c r="H5" s="97"/>
      <c r="I5" s="97"/>
      <c r="J5" s="97"/>
    </row>
    <row r="6" spans="2:10" ht="30" customHeight="1" x14ac:dyDescent="0.2">
      <c r="B6" s="96" t="s">
        <v>339</v>
      </c>
      <c r="C6" s="96"/>
      <c r="D6" s="97" t="s">
        <v>457</v>
      </c>
      <c r="E6" s="97"/>
      <c r="F6" s="97"/>
      <c r="G6" s="97"/>
      <c r="H6" s="97"/>
      <c r="I6" s="97"/>
      <c r="J6" s="97"/>
    </row>
    <row r="8" spans="2:10" ht="21.75" customHeight="1" x14ac:dyDescent="0.2">
      <c r="B8" s="109" t="s">
        <v>51</v>
      </c>
      <c r="C8" s="109"/>
      <c r="D8" s="109"/>
      <c r="E8" s="109"/>
      <c r="F8" s="109"/>
      <c r="G8" s="109"/>
      <c r="H8" s="109"/>
      <c r="I8" s="109"/>
      <c r="J8" s="109"/>
    </row>
    <row r="9" spans="2:10" ht="21.75" customHeight="1" x14ac:dyDescent="0.2">
      <c r="B9" s="1"/>
      <c r="C9" s="99" t="s">
        <v>52</v>
      </c>
      <c r="D9" s="99"/>
      <c r="E9" s="99"/>
      <c r="F9" s="99"/>
      <c r="G9" s="99"/>
      <c r="H9" s="1" t="s">
        <v>53</v>
      </c>
      <c r="I9" s="1" t="s">
        <v>41</v>
      </c>
      <c r="J9" s="1" t="s">
        <v>54</v>
      </c>
    </row>
    <row r="10" spans="2:10" ht="27.75" customHeight="1" x14ac:dyDescent="0.2">
      <c r="B10" s="32">
        <v>1</v>
      </c>
      <c r="C10" s="77" t="s">
        <v>152</v>
      </c>
      <c r="D10" s="77"/>
      <c r="E10" s="77"/>
      <c r="F10" s="77"/>
      <c r="G10" s="77"/>
      <c r="H10" s="33"/>
      <c r="I10" s="34"/>
      <c r="J10" s="35"/>
    </row>
    <row r="11" spans="2:10" ht="27.75" customHeight="1" x14ac:dyDescent="0.2">
      <c r="B11" s="32">
        <v>2</v>
      </c>
      <c r="C11" s="77" t="s">
        <v>153</v>
      </c>
      <c r="D11" s="77"/>
      <c r="E11" s="77"/>
      <c r="F11" s="77"/>
      <c r="G11" s="77"/>
      <c r="H11" s="33"/>
      <c r="I11" s="34"/>
      <c r="J11" s="35"/>
    </row>
    <row r="13" spans="2:10" ht="21.75" customHeight="1" x14ac:dyDescent="0.2">
      <c r="B13" s="109" t="s">
        <v>56</v>
      </c>
      <c r="C13" s="109"/>
      <c r="D13" s="109"/>
      <c r="E13" s="109"/>
      <c r="F13" s="109"/>
      <c r="G13" s="109"/>
      <c r="H13" s="109"/>
      <c r="I13" s="109"/>
      <c r="J13" s="109"/>
    </row>
    <row r="14" spans="2:10" ht="21.75" customHeight="1" x14ac:dyDescent="0.2">
      <c r="B14" s="1"/>
      <c r="C14" s="99" t="s">
        <v>52</v>
      </c>
      <c r="D14" s="99"/>
      <c r="E14" s="99"/>
      <c r="F14" s="99"/>
      <c r="G14" s="99"/>
      <c r="H14" s="1" t="s">
        <v>53</v>
      </c>
      <c r="I14" s="1" t="s">
        <v>41</v>
      </c>
      <c r="J14" s="1" t="s">
        <v>54</v>
      </c>
    </row>
    <row r="15" spans="2:10" ht="27.75" customHeight="1" x14ac:dyDescent="0.2">
      <c r="B15" s="32">
        <v>1</v>
      </c>
      <c r="C15" s="77" t="s">
        <v>154</v>
      </c>
      <c r="D15" s="77"/>
      <c r="E15" s="77"/>
      <c r="F15" s="77"/>
      <c r="G15" s="77"/>
      <c r="H15" s="33"/>
      <c r="I15" s="34"/>
      <c r="J15" s="35"/>
    </row>
    <row r="16" spans="2:10" ht="27.75" customHeight="1" x14ac:dyDescent="0.2">
      <c r="B16" s="32">
        <v>2</v>
      </c>
      <c r="C16" s="77" t="s">
        <v>155</v>
      </c>
      <c r="D16" s="77"/>
      <c r="E16" s="77"/>
      <c r="F16" s="77"/>
      <c r="G16" s="77"/>
      <c r="H16" s="33"/>
      <c r="I16" s="34"/>
      <c r="J16" s="35"/>
    </row>
    <row r="17" spans="2:10" ht="27.75" customHeight="1" x14ac:dyDescent="0.2">
      <c r="B17" s="32">
        <v>3</v>
      </c>
      <c r="C17" s="77" t="s">
        <v>156</v>
      </c>
      <c r="D17" s="77"/>
      <c r="E17" s="77"/>
      <c r="F17" s="77"/>
      <c r="G17" s="77"/>
      <c r="H17" s="33"/>
      <c r="I17" s="34"/>
      <c r="J17" s="35"/>
    </row>
    <row r="18" spans="2:10" ht="27.75" customHeight="1" x14ac:dyDescent="0.2">
      <c r="B18" s="32">
        <v>4</v>
      </c>
      <c r="C18" s="77" t="s">
        <v>157</v>
      </c>
      <c r="D18" s="77"/>
      <c r="E18" s="77"/>
      <c r="F18" s="77"/>
      <c r="G18" s="77"/>
      <c r="H18" s="33"/>
      <c r="I18" s="34"/>
      <c r="J18" s="35"/>
    </row>
    <row r="19" spans="2:10" ht="27.75" customHeight="1" x14ac:dyDescent="0.2">
      <c r="B19" s="32">
        <v>5</v>
      </c>
      <c r="C19" s="77" t="s">
        <v>158</v>
      </c>
      <c r="D19" s="77"/>
      <c r="E19" s="77"/>
      <c r="F19" s="77"/>
      <c r="G19" s="77"/>
      <c r="H19" s="33"/>
      <c r="I19" s="34"/>
      <c r="J19" s="35"/>
    </row>
    <row r="20" spans="2:10" ht="27.75" customHeight="1" x14ac:dyDescent="0.2">
      <c r="B20" s="32">
        <v>6</v>
      </c>
      <c r="C20" s="77" t="s">
        <v>159</v>
      </c>
      <c r="D20" s="77"/>
      <c r="E20" s="77"/>
      <c r="F20" s="77"/>
      <c r="G20" s="77"/>
      <c r="H20" s="33"/>
      <c r="I20" s="34"/>
      <c r="J20" s="35"/>
    </row>
    <row r="22" spans="2:10" ht="21.75" customHeight="1" x14ac:dyDescent="0.2">
      <c r="B22" s="109" t="s">
        <v>561</v>
      </c>
      <c r="C22" s="109"/>
      <c r="D22" s="109"/>
      <c r="E22" s="109"/>
      <c r="F22" s="109"/>
      <c r="G22" s="109"/>
      <c r="H22" s="109"/>
      <c r="I22" s="109"/>
      <c r="J22" s="109"/>
    </row>
    <row r="23" spans="2:10" ht="21.75" customHeight="1" x14ac:dyDescent="0.2">
      <c r="B23" s="1"/>
      <c r="C23" s="99" t="s">
        <v>340</v>
      </c>
      <c r="D23" s="99"/>
      <c r="E23" s="99"/>
      <c r="F23" s="99"/>
      <c r="G23" s="99"/>
      <c r="H23" s="1" t="s">
        <v>53</v>
      </c>
      <c r="I23" s="1" t="s">
        <v>41</v>
      </c>
      <c r="J23" s="1" t="s">
        <v>54</v>
      </c>
    </row>
    <row r="24" spans="2:10" ht="56" customHeight="1" x14ac:dyDescent="0.2">
      <c r="B24" s="32">
        <v>1</v>
      </c>
      <c r="C24" s="77" t="s">
        <v>1326</v>
      </c>
      <c r="D24" s="77"/>
      <c r="E24" s="77"/>
      <c r="F24" s="77"/>
      <c r="G24" s="77"/>
      <c r="H24" s="33"/>
      <c r="I24" s="34"/>
      <c r="J24" s="35"/>
    </row>
    <row r="25" spans="2:10" ht="56" customHeight="1" x14ac:dyDescent="0.2">
      <c r="B25" s="32">
        <v>2</v>
      </c>
      <c r="C25" s="77" t="s">
        <v>1327</v>
      </c>
      <c r="D25" s="77"/>
      <c r="E25" s="77"/>
      <c r="F25" s="77"/>
      <c r="G25" s="77"/>
      <c r="H25" s="33"/>
      <c r="I25" s="34"/>
      <c r="J25" s="35"/>
    </row>
    <row r="26" spans="2:10" ht="56" customHeight="1" x14ac:dyDescent="0.2">
      <c r="B26" s="32">
        <v>3</v>
      </c>
      <c r="C26" s="77" t="s">
        <v>1328</v>
      </c>
      <c r="D26" s="77"/>
      <c r="E26" s="77"/>
      <c r="F26" s="77"/>
      <c r="G26" s="77"/>
      <c r="H26" s="33"/>
      <c r="I26" s="34"/>
      <c r="J26" s="35"/>
    </row>
    <row r="29" spans="2:10" ht="27.75" customHeight="1" x14ac:dyDescent="0.2">
      <c r="B29" s="105" t="s">
        <v>560</v>
      </c>
      <c r="C29" s="105"/>
      <c r="D29" s="105"/>
      <c r="E29" s="105"/>
      <c r="F29" s="105"/>
      <c r="G29" s="105"/>
      <c r="H29" s="105"/>
      <c r="I29" s="105"/>
      <c r="J29" s="105"/>
    </row>
    <row r="30" spans="2:10" ht="31.5" customHeight="1" x14ac:dyDescent="0.2">
      <c r="B30" s="1" t="s">
        <v>64</v>
      </c>
      <c r="C30" s="1" t="s">
        <v>52</v>
      </c>
      <c r="D30" s="1" t="s">
        <v>65</v>
      </c>
      <c r="E30" s="1" t="s">
        <v>66</v>
      </c>
      <c r="F30" s="1" t="s">
        <v>67</v>
      </c>
      <c r="G30" s="1" t="s">
        <v>41</v>
      </c>
      <c r="H30" s="1" t="s">
        <v>68</v>
      </c>
      <c r="I30" s="1" t="s">
        <v>69</v>
      </c>
      <c r="J30" s="1" t="s">
        <v>338</v>
      </c>
    </row>
    <row r="31" spans="2:10" ht="24" customHeight="1" x14ac:dyDescent="0.2">
      <c r="B31" s="75" t="s">
        <v>70</v>
      </c>
      <c r="C31" s="75"/>
      <c r="D31" s="75"/>
      <c r="E31" s="75"/>
      <c r="F31" s="75"/>
      <c r="G31" s="75"/>
      <c r="H31" s="75"/>
      <c r="I31" s="75"/>
      <c r="J31" s="75"/>
    </row>
    <row r="32" spans="2:10" ht="36" customHeight="1" x14ac:dyDescent="0.2">
      <c r="B32" s="32">
        <v>1</v>
      </c>
      <c r="C32" s="2" t="s">
        <v>160</v>
      </c>
      <c r="D32" s="36">
        <v>5</v>
      </c>
      <c r="E32" s="37"/>
      <c r="F32" s="33"/>
      <c r="G32" s="38" t="str">
        <f t="shared" ref="G32:G39" si="0">IF(E32="","❌ Ej påbörjad",IF(E32&gt;D32,"🔵 Överträffad",IF(E32=D32,"🟢 Uppnådd","🟡 Pågående")))</f>
        <v>❌ Ej påbörjad</v>
      </c>
      <c r="H32" s="39" t="s">
        <v>309</v>
      </c>
      <c r="I32" s="35"/>
      <c r="J32" s="40" t="s">
        <v>424</v>
      </c>
    </row>
    <row r="33" spans="2:10" ht="36" customHeight="1" x14ac:dyDescent="0.2">
      <c r="B33" s="32">
        <v>2</v>
      </c>
      <c r="C33" s="2" t="s">
        <v>162</v>
      </c>
      <c r="D33" s="36">
        <v>5</v>
      </c>
      <c r="E33" s="37"/>
      <c r="F33" s="33"/>
      <c r="G33" s="38" t="str">
        <f t="shared" si="0"/>
        <v>❌ Ej påbörjad</v>
      </c>
      <c r="H33" s="39" t="s">
        <v>309</v>
      </c>
      <c r="I33" s="35"/>
      <c r="J33" s="40" t="s">
        <v>425</v>
      </c>
    </row>
    <row r="34" spans="2:10" ht="36" customHeight="1" x14ac:dyDescent="0.2">
      <c r="B34" s="32">
        <v>3</v>
      </c>
      <c r="C34" s="2" t="s">
        <v>163</v>
      </c>
      <c r="D34" s="36">
        <v>5</v>
      </c>
      <c r="E34" s="37"/>
      <c r="F34" s="33"/>
      <c r="G34" s="38" t="str">
        <f t="shared" si="0"/>
        <v>❌ Ej påbörjad</v>
      </c>
      <c r="H34" s="39" t="s">
        <v>309</v>
      </c>
      <c r="I34" s="35"/>
      <c r="J34" s="40" t="s">
        <v>426</v>
      </c>
    </row>
    <row r="35" spans="2:10" ht="36" customHeight="1" x14ac:dyDescent="0.2">
      <c r="B35" s="32">
        <v>4</v>
      </c>
      <c r="C35" s="2" t="s">
        <v>164</v>
      </c>
      <c r="D35" s="36">
        <v>5</v>
      </c>
      <c r="E35" s="37"/>
      <c r="F35" s="33"/>
      <c r="G35" s="38" t="str">
        <f t="shared" si="0"/>
        <v>❌ Ej påbörjad</v>
      </c>
      <c r="H35" s="39" t="s">
        <v>309</v>
      </c>
      <c r="I35" s="35"/>
      <c r="J35" s="40" t="s">
        <v>427</v>
      </c>
    </row>
    <row r="36" spans="2:10" ht="36" customHeight="1" x14ac:dyDescent="0.2">
      <c r="B36" s="32">
        <v>5</v>
      </c>
      <c r="C36" s="2" t="s">
        <v>334</v>
      </c>
      <c r="D36" s="36">
        <v>5</v>
      </c>
      <c r="E36" s="37"/>
      <c r="F36" s="33"/>
      <c r="G36" s="38" t="str">
        <f t="shared" si="0"/>
        <v>❌ Ej påbörjad</v>
      </c>
      <c r="H36" s="39" t="s">
        <v>309</v>
      </c>
      <c r="I36" s="35"/>
      <c r="J36" s="40" t="s">
        <v>428</v>
      </c>
    </row>
    <row r="37" spans="2:10" ht="36" customHeight="1" x14ac:dyDescent="0.2">
      <c r="B37" s="32">
        <v>6</v>
      </c>
      <c r="C37" s="2" t="s">
        <v>165</v>
      </c>
      <c r="D37" s="36">
        <v>4</v>
      </c>
      <c r="E37" s="37"/>
      <c r="F37" s="33"/>
      <c r="G37" s="38" t="str">
        <f t="shared" si="0"/>
        <v>❌ Ej påbörjad</v>
      </c>
      <c r="H37" s="39" t="s">
        <v>309</v>
      </c>
      <c r="I37" s="35"/>
      <c r="J37" s="40" t="s">
        <v>429</v>
      </c>
    </row>
    <row r="38" spans="2:10" ht="36" customHeight="1" x14ac:dyDescent="0.2">
      <c r="B38" s="32">
        <v>7</v>
      </c>
      <c r="C38" s="2" t="s">
        <v>166</v>
      </c>
      <c r="D38" s="36">
        <v>4</v>
      </c>
      <c r="E38" s="37"/>
      <c r="F38" s="33"/>
      <c r="G38" s="38" t="str">
        <f t="shared" si="0"/>
        <v>❌ Ej påbörjad</v>
      </c>
      <c r="H38" s="39" t="s">
        <v>309</v>
      </c>
      <c r="I38" s="35"/>
      <c r="J38" s="40" t="s">
        <v>430</v>
      </c>
    </row>
    <row r="39" spans="2:10" ht="36" customHeight="1" x14ac:dyDescent="0.2">
      <c r="B39" s="32">
        <v>8</v>
      </c>
      <c r="C39" s="2" t="s">
        <v>167</v>
      </c>
      <c r="D39" s="36">
        <v>4</v>
      </c>
      <c r="E39" s="37"/>
      <c r="F39" s="33"/>
      <c r="G39" s="38" t="str">
        <f t="shared" si="0"/>
        <v>❌ Ej påbörjad</v>
      </c>
      <c r="H39" s="39" t="s">
        <v>309</v>
      </c>
      <c r="I39" s="35"/>
      <c r="J39" s="40" t="s">
        <v>431</v>
      </c>
    </row>
    <row r="40" spans="2:10" ht="57" customHeight="1" x14ac:dyDescent="0.2">
      <c r="B40" s="32">
        <v>9</v>
      </c>
      <c r="C40" s="2" t="s">
        <v>168</v>
      </c>
      <c r="D40" s="36" t="s">
        <v>169</v>
      </c>
      <c r="E40" s="37"/>
      <c r="F40" s="33"/>
      <c r="G40" s="38" t="str">
        <f>IF(E40="","❌ Ej påbörjad",IF(E40&gt;=4,"🟢 Uppnådd","🟡 Pågående"))</f>
        <v>❌ Ej påbörjad</v>
      </c>
      <c r="H40" s="39" t="s">
        <v>309</v>
      </c>
      <c r="I40" s="35"/>
      <c r="J40" s="40" t="s">
        <v>432</v>
      </c>
    </row>
    <row r="41" spans="2:10" ht="36" customHeight="1" x14ac:dyDescent="0.2">
      <c r="B41" s="32">
        <v>10</v>
      </c>
      <c r="C41" s="2" t="s">
        <v>170</v>
      </c>
      <c r="D41" s="36">
        <v>4</v>
      </c>
      <c r="E41" s="37"/>
      <c r="F41" s="33"/>
      <c r="G41" s="38" t="str">
        <f>IF(E41="","❌ Ej påbörjad",IF(E41&gt;D41,"🔵 Överträffad",IF(E41=D41,"🟢 Uppnådd","🟡 Pågående")))</f>
        <v>❌ Ej påbörjad</v>
      </c>
      <c r="H41" s="39" t="s">
        <v>309</v>
      </c>
      <c r="I41" s="35"/>
      <c r="J41" s="40" t="s">
        <v>433</v>
      </c>
    </row>
    <row r="42" spans="2:10" ht="24" customHeight="1" x14ac:dyDescent="0.2">
      <c r="B42" s="75" t="s">
        <v>84</v>
      </c>
      <c r="C42" s="75"/>
      <c r="D42" s="75"/>
      <c r="E42" s="75"/>
      <c r="F42" s="75"/>
      <c r="G42" s="75"/>
      <c r="H42" s="75"/>
      <c r="I42" s="75"/>
      <c r="J42" s="75"/>
    </row>
    <row r="43" spans="2:10" ht="36" customHeight="1" x14ac:dyDescent="0.2">
      <c r="B43" s="32">
        <v>11</v>
      </c>
      <c r="C43" s="2" t="s">
        <v>171</v>
      </c>
      <c r="D43" s="36">
        <v>5</v>
      </c>
      <c r="E43" s="37"/>
      <c r="F43" s="33"/>
      <c r="G43" s="38" t="str">
        <f>IF(E43="","❌ Ej påbörjad",IF(E43&gt;D43,"🔵 Överträffad",IF(E43=D43,"🟢 Uppnådd","🟡 Pågående")))</f>
        <v>❌ Ej påbörjad</v>
      </c>
      <c r="H43" s="39" t="s">
        <v>303</v>
      </c>
      <c r="I43" s="35"/>
      <c r="J43" s="40" t="s">
        <v>434</v>
      </c>
    </row>
    <row r="44" spans="2:10" ht="36" customHeight="1" x14ac:dyDescent="0.2">
      <c r="B44" s="32">
        <v>12</v>
      </c>
      <c r="C44" s="2" t="s">
        <v>172</v>
      </c>
      <c r="D44" s="36">
        <v>5</v>
      </c>
      <c r="E44" s="37"/>
      <c r="F44" s="33"/>
      <c r="G44" s="38" t="str">
        <f>IF(E44="","❌ Ej påbörjad",IF(E44&gt;D44,"🔵 Överträffad",IF(E44=D44,"🟢 Uppnådd","🟡 Pågående")))</f>
        <v>❌ Ej påbörjad</v>
      </c>
      <c r="H44" s="39" t="s">
        <v>303</v>
      </c>
      <c r="I44" s="35"/>
      <c r="J44" s="40" t="s">
        <v>435</v>
      </c>
    </row>
    <row r="45" spans="2:10" ht="36" customHeight="1" x14ac:dyDescent="0.2">
      <c r="B45" s="32">
        <v>13</v>
      </c>
      <c r="C45" s="2" t="s">
        <v>173</v>
      </c>
      <c r="D45" s="36">
        <v>5</v>
      </c>
      <c r="E45" s="37"/>
      <c r="F45" s="33"/>
      <c r="G45" s="38" t="str">
        <f>IF(E45="","❌ Ej påbörjad",IF(E45&gt;D45,"🔵 Överträffad",IF(E45=D45,"🟢 Uppnådd","🟡 Pågående")))</f>
        <v>❌ Ej påbörjad</v>
      </c>
      <c r="H45" s="39" t="s">
        <v>303</v>
      </c>
      <c r="I45" s="35"/>
      <c r="J45" s="40" t="s">
        <v>436</v>
      </c>
    </row>
    <row r="46" spans="2:10" ht="36" customHeight="1" x14ac:dyDescent="0.2">
      <c r="B46" s="32">
        <v>14</v>
      </c>
      <c r="C46" s="2" t="s">
        <v>174</v>
      </c>
      <c r="D46" s="36">
        <v>4</v>
      </c>
      <c r="E46" s="37"/>
      <c r="F46" s="33"/>
      <c r="G46" s="38" t="str">
        <f>IF(E46="","❌ Ej påbörjad",IF(E46&gt;D46,"🔵 Överträffad",IF(E46=D46,"🟢 Uppnådd","🟡 Pågående")))</f>
        <v>❌ Ej påbörjad</v>
      </c>
      <c r="H46" s="39" t="s">
        <v>303</v>
      </c>
      <c r="I46" s="35"/>
      <c r="J46" s="40" t="s">
        <v>437</v>
      </c>
    </row>
    <row r="47" spans="2:10" ht="36" customHeight="1" x14ac:dyDescent="0.2">
      <c r="B47" s="32">
        <v>15</v>
      </c>
      <c r="C47" s="2" t="s">
        <v>175</v>
      </c>
      <c r="D47" s="36">
        <v>4</v>
      </c>
      <c r="E47" s="37"/>
      <c r="F47" s="33"/>
      <c r="G47" s="38" t="str">
        <f>IF(E47="","❌ Ej påbörjad",IF(E47&gt;D47,"🔵 Överträffad",IF(E47=D47,"🟢 Uppnådd","🟡 Pågående")))</f>
        <v>❌ Ej påbörjad</v>
      </c>
      <c r="H47" s="39" t="s">
        <v>303</v>
      </c>
      <c r="I47" s="35"/>
      <c r="J47" s="40" t="s">
        <v>438</v>
      </c>
    </row>
    <row r="48" spans="2:10" ht="24" customHeight="1" x14ac:dyDescent="0.2">
      <c r="B48" s="75" t="s">
        <v>176</v>
      </c>
      <c r="C48" s="75"/>
      <c r="D48" s="75"/>
      <c r="E48" s="75"/>
      <c r="F48" s="75"/>
      <c r="G48" s="75"/>
      <c r="H48" s="75"/>
      <c r="I48" s="75"/>
      <c r="J48" s="75"/>
    </row>
    <row r="49" spans="2:10" ht="36" customHeight="1" x14ac:dyDescent="0.2">
      <c r="B49" s="32">
        <v>16</v>
      </c>
      <c r="C49" s="2" t="s">
        <v>177</v>
      </c>
      <c r="D49" s="36">
        <v>5</v>
      </c>
      <c r="E49" s="37"/>
      <c r="F49" s="33"/>
      <c r="G49" s="38" t="str">
        <f>IF(E49="","❌ Ej påbörjad",IF(E49&gt;D49,"🔵 Överträffad",IF(E49=D49,"🟢 Uppnådd","🟡 Pågående")))</f>
        <v>❌ Ej påbörjad</v>
      </c>
      <c r="H49" s="39" t="s">
        <v>309</v>
      </c>
      <c r="I49" s="35"/>
      <c r="J49" s="40" t="s">
        <v>439</v>
      </c>
    </row>
    <row r="50" spans="2:10" ht="36" customHeight="1" x14ac:dyDescent="0.2">
      <c r="B50" s="32">
        <v>17</v>
      </c>
      <c r="C50" s="2" t="s">
        <v>178</v>
      </c>
      <c r="D50" s="36">
        <v>5</v>
      </c>
      <c r="E50" s="37"/>
      <c r="F50" s="33"/>
      <c r="G50" s="38" t="str">
        <f>IF(E50="","❌ Ej påbörjad",IF(E50&gt;D50,"🔵 Överträffad",IF(E50=D50,"🟢 Uppnådd","🟡 Pågående")))</f>
        <v>❌ Ej påbörjad</v>
      </c>
      <c r="H50" s="39" t="s">
        <v>309</v>
      </c>
      <c r="I50" s="35"/>
      <c r="J50" s="40" t="s">
        <v>440</v>
      </c>
    </row>
    <row r="51" spans="2:10" ht="36" customHeight="1" x14ac:dyDescent="0.2">
      <c r="B51" s="32">
        <v>18</v>
      </c>
      <c r="C51" s="2" t="s">
        <v>179</v>
      </c>
      <c r="D51" s="36">
        <v>4</v>
      </c>
      <c r="E51" s="37"/>
      <c r="F51" s="33"/>
      <c r="G51" s="38" t="str">
        <f>IF(E51="","❌ Ej påbörjad",IF(E51&gt;D51,"🔵 Överträffad",IF(E51=D51,"🟢 Uppnådd","🟡 Pågående")))</f>
        <v>❌ Ej påbörjad</v>
      </c>
      <c r="H51" s="39" t="s">
        <v>309</v>
      </c>
      <c r="I51" s="35"/>
      <c r="J51" s="40" t="s">
        <v>441</v>
      </c>
    </row>
    <row r="52" spans="2:10" ht="36" customHeight="1" x14ac:dyDescent="0.2">
      <c r="B52" s="32">
        <v>19</v>
      </c>
      <c r="C52" s="2" t="s">
        <v>180</v>
      </c>
      <c r="D52" s="36">
        <v>4</v>
      </c>
      <c r="E52" s="37"/>
      <c r="F52" s="33"/>
      <c r="G52" s="38" t="str">
        <f>IF(E52="","❌ Ej påbörjad",IF(E52&gt;D52,"🔵 Överträffad",IF(E52=D52,"🟢 Uppnådd","🟡 Pågående")))</f>
        <v>❌ Ej påbörjad</v>
      </c>
      <c r="H52" s="39" t="s">
        <v>309</v>
      </c>
      <c r="I52" s="35"/>
      <c r="J52" s="40" t="s">
        <v>442</v>
      </c>
    </row>
    <row r="53" spans="2:10" ht="36" customHeight="1" x14ac:dyDescent="0.2">
      <c r="B53" s="32">
        <v>20</v>
      </c>
      <c r="C53" s="2" t="s">
        <v>181</v>
      </c>
      <c r="D53" s="36">
        <v>3</v>
      </c>
      <c r="E53" s="37"/>
      <c r="F53" s="33"/>
      <c r="G53" s="38" t="str">
        <f>IF(E53="","❌ Ej påbörjad",IF(E53&gt;D53,"🔵 Överträffad",IF(E53=D53,"🟢 Uppnådd","🟡 Pågående")))</f>
        <v>❌ Ej påbörjad</v>
      </c>
      <c r="H53" s="39" t="s">
        <v>309</v>
      </c>
      <c r="I53" s="35"/>
      <c r="J53" s="40" t="s">
        <v>443</v>
      </c>
    </row>
    <row r="54" spans="2:10" ht="24" customHeight="1" x14ac:dyDescent="0.2">
      <c r="B54" s="75" t="s">
        <v>106</v>
      </c>
      <c r="C54" s="75"/>
      <c r="D54" s="75"/>
      <c r="E54" s="75"/>
      <c r="F54" s="75"/>
      <c r="G54" s="75"/>
      <c r="H54" s="75"/>
      <c r="I54" s="75"/>
      <c r="J54" s="75"/>
    </row>
    <row r="55" spans="2:10" ht="36" customHeight="1" x14ac:dyDescent="0.2">
      <c r="B55" s="32">
        <v>21</v>
      </c>
      <c r="C55" s="2" t="s">
        <v>182</v>
      </c>
      <c r="D55" s="36">
        <v>5</v>
      </c>
      <c r="E55" s="37"/>
      <c r="F55" s="33"/>
      <c r="G55" s="38" t="str">
        <f t="shared" ref="G55:G62" si="1">IF(E55="","❌ Ej påbörjad",IF(E55&gt;D55,"🔵 Överträffad",IF(E55=D55,"🟢 Uppnådd","🟡 Pågående")))</f>
        <v>❌ Ej påbörjad</v>
      </c>
      <c r="H55" s="39" t="s">
        <v>303</v>
      </c>
      <c r="I55" s="35"/>
      <c r="J55" s="40" t="s">
        <v>444</v>
      </c>
    </row>
    <row r="56" spans="2:10" ht="36" customHeight="1" x14ac:dyDescent="0.2">
      <c r="B56" s="32">
        <v>22</v>
      </c>
      <c r="C56" s="2" t="s">
        <v>183</v>
      </c>
      <c r="D56" s="36">
        <v>5</v>
      </c>
      <c r="E56" s="37"/>
      <c r="F56" s="33"/>
      <c r="G56" s="38" t="str">
        <f t="shared" si="1"/>
        <v>❌ Ej påbörjad</v>
      </c>
      <c r="H56" s="39" t="s">
        <v>303</v>
      </c>
      <c r="I56" s="35"/>
      <c r="J56" s="40" t="s">
        <v>445</v>
      </c>
    </row>
    <row r="57" spans="2:10" ht="36" customHeight="1" x14ac:dyDescent="0.2">
      <c r="B57" s="32">
        <v>23</v>
      </c>
      <c r="C57" s="2" t="s">
        <v>184</v>
      </c>
      <c r="D57" s="36">
        <v>5</v>
      </c>
      <c r="E57" s="37"/>
      <c r="F57" s="33"/>
      <c r="G57" s="38" t="str">
        <f t="shared" si="1"/>
        <v>❌ Ej påbörjad</v>
      </c>
      <c r="H57" s="39" t="s">
        <v>303</v>
      </c>
      <c r="I57" s="35"/>
      <c r="J57" s="40" t="s">
        <v>446</v>
      </c>
    </row>
    <row r="58" spans="2:10" ht="36" customHeight="1" x14ac:dyDescent="0.2">
      <c r="B58" s="32">
        <v>24</v>
      </c>
      <c r="C58" s="2" t="s">
        <v>185</v>
      </c>
      <c r="D58" s="36">
        <v>4</v>
      </c>
      <c r="E58" s="37"/>
      <c r="F58" s="33"/>
      <c r="G58" s="38" t="str">
        <f t="shared" si="1"/>
        <v>❌ Ej påbörjad</v>
      </c>
      <c r="H58" s="39" t="s">
        <v>303</v>
      </c>
      <c r="I58" s="35"/>
      <c r="J58" s="40" t="s">
        <v>447</v>
      </c>
    </row>
    <row r="59" spans="2:10" ht="36" customHeight="1" x14ac:dyDescent="0.2">
      <c r="B59" s="32">
        <v>25</v>
      </c>
      <c r="C59" s="2" t="s">
        <v>186</v>
      </c>
      <c r="D59" s="36">
        <v>5</v>
      </c>
      <c r="E59" s="37"/>
      <c r="F59" s="33"/>
      <c r="G59" s="38" t="str">
        <f t="shared" si="1"/>
        <v>❌ Ej påbörjad</v>
      </c>
      <c r="H59" s="39" t="s">
        <v>303</v>
      </c>
      <c r="I59" s="35"/>
      <c r="J59" s="40" t="s">
        <v>448</v>
      </c>
    </row>
    <row r="60" spans="2:10" ht="36" customHeight="1" x14ac:dyDescent="0.2">
      <c r="B60" s="32">
        <v>26</v>
      </c>
      <c r="C60" s="2" t="s">
        <v>187</v>
      </c>
      <c r="D60" s="36">
        <v>4</v>
      </c>
      <c r="E60" s="37"/>
      <c r="F60" s="33"/>
      <c r="G60" s="38" t="str">
        <f t="shared" si="1"/>
        <v>❌ Ej påbörjad</v>
      </c>
      <c r="H60" s="39" t="s">
        <v>303</v>
      </c>
      <c r="I60" s="35"/>
      <c r="J60" s="40" t="s">
        <v>449</v>
      </c>
    </row>
    <row r="61" spans="2:10" ht="36" customHeight="1" x14ac:dyDescent="0.2">
      <c r="B61" s="32">
        <v>27</v>
      </c>
      <c r="C61" s="2" t="s">
        <v>188</v>
      </c>
      <c r="D61" s="36">
        <v>4</v>
      </c>
      <c r="E61" s="37"/>
      <c r="F61" s="33"/>
      <c r="G61" s="38" t="str">
        <f t="shared" si="1"/>
        <v>❌ Ej påbörjad</v>
      </c>
      <c r="H61" s="39" t="s">
        <v>303</v>
      </c>
      <c r="I61" s="35"/>
      <c r="J61" s="40" t="s">
        <v>450</v>
      </c>
    </row>
    <row r="62" spans="2:10" ht="36" customHeight="1" x14ac:dyDescent="0.2">
      <c r="B62" s="32">
        <v>28</v>
      </c>
      <c r="C62" s="2" t="s">
        <v>189</v>
      </c>
      <c r="D62" s="36">
        <v>3</v>
      </c>
      <c r="E62" s="37"/>
      <c r="F62" s="33"/>
      <c r="G62" s="38" t="str">
        <f t="shared" si="1"/>
        <v>❌ Ej påbörjad</v>
      </c>
      <c r="H62" s="39" t="s">
        <v>303</v>
      </c>
      <c r="I62" s="35"/>
      <c r="J62" s="40" t="s">
        <v>451</v>
      </c>
    </row>
    <row r="63" spans="2:10" ht="24" customHeight="1" x14ac:dyDescent="0.2">
      <c r="B63" s="75" t="s">
        <v>190</v>
      </c>
      <c r="C63" s="75"/>
      <c r="D63" s="75"/>
      <c r="E63" s="75"/>
      <c r="F63" s="75"/>
      <c r="G63" s="75"/>
      <c r="H63" s="75"/>
      <c r="I63" s="75"/>
      <c r="J63" s="75"/>
    </row>
    <row r="64" spans="2:10" ht="36" customHeight="1" x14ac:dyDescent="0.2">
      <c r="B64" s="32">
        <v>29</v>
      </c>
      <c r="C64" s="2" t="s">
        <v>191</v>
      </c>
      <c r="D64" s="36">
        <v>5</v>
      </c>
      <c r="E64" s="37"/>
      <c r="F64" s="33"/>
      <c r="G64" s="38" t="str">
        <f>IF(E64="","❌ Ej påbörjad",IF(E64&gt;D64,"🔵 Överträffad",IF(E64=D64,"🟢 Uppnådd","🟡 Pågående")))</f>
        <v>❌ Ej påbörjad</v>
      </c>
      <c r="H64" s="39" t="s">
        <v>303</v>
      </c>
      <c r="I64" s="35"/>
      <c r="J64" s="40" t="s">
        <v>452</v>
      </c>
    </row>
    <row r="65" spans="2:10" ht="36" customHeight="1" x14ac:dyDescent="0.2">
      <c r="B65" s="32">
        <v>30</v>
      </c>
      <c r="C65" s="2" t="s">
        <v>192</v>
      </c>
      <c r="D65" s="36">
        <v>5</v>
      </c>
      <c r="E65" s="37"/>
      <c r="F65" s="33"/>
      <c r="G65" s="38" t="str">
        <f>IF(E65="","❌ Ej påbörjad",IF(E65&gt;D65,"🔵 Överträffad",IF(E65=D65,"🟢 Uppnådd","🟡 Pågående")))</f>
        <v>❌ Ej påbörjad</v>
      </c>
      <c r="H65" s="39" t="s">
        <v>303</v>
      </c>
      <c r="I65" s="35"/>
      <c r="J65" s="40" t="s">
        <v>453</v>
      </c>
    </row>
    <row r="66" spans="2:10" ht="36" customHeight="1" x14ac:dyDescent="0.2">
      <c r="B66" s="32">
        <v>31</v>
      </c>
      <c r="C66" s="2" t="s">
        <v>193</v>
      </c>
      <c r="D66" s="36">
        <v>4</v>
      </c>
      <c r="E66" s="37"/>
      <c r="F66" s="33"/>
      <c r="G66" s="38" t="str">
        <f>IF(E66="","❌ Ej påbörjad",IF(E66&gt;D66,"🔵 Överträffad",IF(E66=D66,"🟢 Uppnådd","🟡 Pågående")))</f>
        <v>❌ Ej påbörjad</v>
      </c>
      <c r="H66" s="39" t="s">
        <v>303</v>
      </c>
      <c r="I66" s="35"/>
      <c r="J66" s="40" t="s">
        <v>454</v>
      </c>
    </row>
    <row r="67" spans="2:10" ht="36" customHeight="1" x14ac:dyDescent="0.2">
      <c r="B67" s="32">
        <v>32</v>
      </c>
      <c r="C67" s="2" t="s">
        <v>194</v>
      </c>
      <c r="D67" s="36">
        <v>5</v>
      </c>
      <c r="E67" s="37"/>
      <c r="F67" s="33"/>
      <c r="G67" s="38" t="str">
        <f>IF(E67="","❌ Ej påbörjad",IF(E67&gt;D67,"🔵 Överträffad",IF(E67=D67,"🟢 Uppnådd","🟡 Pågående")))</f>
        <v>❌ Ej påbörjad</v>
      </c>
      <c r="H67" s="39" t="s">
        <v>303</v>
      </c>
      <c r="I67" s="35"/>
      <c r="J67" s="40" t="s">
        <v>455</v>
      </c>
    </row>
    <row r="68" spans="2:10" ht="36" customHeight="1" x14ac:dyDescent="0.2">
      <c r="B68" s="32">
        <v>33</v>
      </c>
      <c r="C68" s="2" t="s">
        <v>195</v>
      </c>
      <c r="D68" s="36">
        <v>3</v>
      </c>
      <c r="E68" s="37"/>
      <c r="F68" s="33"/>
      <c r="G68" s="38" t="str">
        <f>IF(E68="","❌ Ej påbörjad",IF(E68&gt;D68,"🔵 Överträffad",IF(E68=D68,"🟢 Uppnådd","🟡 Pågående")))</f>
        <v>❌ Ej påbörjad</v>
      </c>
      <c r="H68" s="39" t="s">
        <v>303</v>
      </c>
      <c r="I68" s="35"/>
      <c r="J68" s="40" t="s">
        <v>456</v>
      </c>
    </row>
    <row r="70" spans="2:10" ht="27.75" customHeight="1" x14ac:dyDescent="0.2">
      <c r="B70" s="103" t="s">
        <v>122</v>
      </c>
      <c r="C70" s="103"/>
      <c r="D70" s="41">
        <f>COUNTA(D31:D68)</f>
        <v>33</v>
      </c>
      <c r="E70" s="42"/>
      <c r="F70" s="42"/>
      <c r="G70" s="43">
        <f>COUNTIF(G31:G68,"🟢 Uppnådd") + COUNTIF(G31:G68,"🔵 Överträffad")</f>
        <v>0</v>
      </c>
      <c r="H70" s="42"/>
      <c r="I70" s="42"/>
      <c r="J70" s="42"/>
    </row>
    <row r="71" spans="2:10" ht="15" customHeight="1" x14ac:dyDescent="0.2">
      <c r="B71" s="104" t="s">
        <v>123</v>
      </c>
      <c r="C71" s="104"/>
      <c r="D71" s="44">
        <f>IF(D70=0,0,G70/D70)</f>
        <v>0</v>
      </c>
      <c r="E71" s="45"/>
      <c r="F71" s="45"/>
      <c r="G71" s="45"/>
      <c r="H71" s="45"/>
      <c r="I71" s="45"/>
      <c r="J71" s="45"/>
    </row>
  </sheetData>
  <mergeCells count="33">
    <mergeCell ref="B70:C70"/>
    <mergeCell ref="B71:C71"/>
    <mergeCell ref="B31:J31"/>
    <mergeCell ref="B42:J42"/>
    <mergeCell ref="B48:J48"/>
    <mergeCell ref="B54:J54"/>
    <mergeCell ref="B63:J63"/>
    <mergeCell ref="C23:G23"/>
    <mergeCell ref="C24:G24"/>
    <mergeCell ref="C25:G25"/>
    <mergeCell ref="C26:G26"/>
    <mergeCell ref="B29:J29"/>
    <mergeCell ref="C17:G17"/>
    <mergeCell ref="C18:G18"/>
    <mergeCell ref="C19:G19"/>
    <mergeCell ref="C20:G20"/>
    <mergeCell ref="B22:J22"/>
    <mergeCell ref="C11:G11"/>
    <mergeCell ref="B13:J13"/>
    <mergeCell ref="C14:G14"/>
    <mergeCell ref="C15:G15"/>
    <mergeCell ref="C16:G16"/>
    <mergeCell ref="B6:C6"/>
    <mergeCell ref="D6:J6"/>
    <mergeCell ref="B8:J8"/>
    <mergeCell ref="C9:G9"/>
    <mergeCell ref="C10:G10"/>
    <mergeCell ref="B2:J2"/>
    <mergeCell ref="B3:J3"/>
    <mergeCell ref="B4:C4"/>
    <mergeCell ref="D4:J4"/>
    <mergeCell ref="B5:C5"/>
    <mergeCell ref="D5:J5"/>
  </mergeCells>
  <conditionalFormatting sqref="G31:G68">
    <cfRule type="cellIs" dxfId="31" priority="11" operator="equal">
      <formula>"❌ Ej påbörjad"</formula>
    </cfRule>
    <cfRule type="cellIs" dxfId="30" priority="12" operator="equal">
      <formula>"🟡 Pågående"</formula>
    </cfRule>
    <cfRule type="cellIs" dxfId="29" priority="13" operator="equal">
      <formula>"🟢 Uppnådd"</formula>
    </cfRule>
    <cfRule type="cellIs" dxfId="28" priority="14" operator="equal">
      <formula>"🔵 Överträffad"</formula>
    </cfRule>
  </conditionalFormatting>
  <conditionalFormatting sqref="I10:I11">
    <cfRule type="cellIs" dxfId="27" priority="2" operator="equal">
      <formula>"❌ Ej påbörjad"</formula>
    </cfRule>
    <cfRule type="cellIs" dxfId="26" priority="3" operator="equal">
      <formula>"🟡 Pågående"</formula>
    </cfRule>
    <cfRule type="cellIs" dxfId="25" priority="4" operator="equal">
      <formula>"🟢 Klar"</formula>
    </cfRule>
  </conditionalFormatting>
  <conditionalFormatting sqref="I15:I20">
    <cfRule type="cellIs" dxfId="24" priority="5" operator="equal">
      <formula>"❌ Ej påbörjad"</formula>
    </cfRule>
    <cfRule type="cellIs" dxfId="23" priority="6" operator="equal">
      <formula>"🟡 Pågående"</formula>
    </cfRule>
    <cfRule type="cellIs" dxfId="22" priority="7" operator="equal">
      <formula>"🟢 Klar"</formula>
    </cfRule>
  </conditionalFormatting>
  <conditionalFormatting sqref="I24:I26">
    <cfRule type="cellIs" dxfId="21" priority="8" operator="equal">
      <formula>"❌ Ej påbörjad"</formula>
    </cfRule>
    <cfRule type="cellIs" dxfId="20" priority="9" operator="equal">
      <formula>"🟡 Pågående"</formula>
    </cfRule>
    <cfRule type="cellIs" dxfId="19" priority="10" operator="equal">
      <formula>"🟢 Klar"</formula>
    </cfRule>
  </conditionalFormatting>
  <dataValidations count="3">
    <dataValidation type="list" allowBlank="1" sqref="I10:I11 I24:I26 I15:I20" xr:uid="{00000000-0002-0000-0400-000000000000}">
      <formula1>"❌ Ej påbörjad,🟡 Pågående,🟢 Klar"</formula1>
      <formula2>0</formula2>
    </dataValidation>
    <dataValidation type="list" allowBlank="1" errorTitle="Ogiltig nivå" error="Ange 1-5" sqref="E31:E68" xr:uid="{00000000-0002-0000-0400-000003000000}">
      <formula1>"1,2,3,4,5"</formula1>
      <formula2>0</formula2>
    </dataValidation>
    <dataValidation type="date" allowBlank="1" promptTitle="Datum uppnått" prompt="Ctrl+; för dagens datum._x000a_Fylls i automatiskt vid självskattning &gt;= målnivå (om VBA aktivt)." sqref="F31:F68" xr:uid="{00000000-0002-0000-0400-000004000000}">
      <formula1>2000-1-1</formula1>
      <formula2>2100-12-31</formula2>
    </dataValidation>
  </dataValidations>
  <pageMargins left="0.75" right="0.75" top="1" bottom="1" header="0.511811023622047" footer="0.511811023622047"/>
  <pageSetup paperSize="9" orientation="landscape" horizontalDpi="300" verticalDpi="300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11C23A-CC5B-E443-B0BB-BF1D47B6375D}">
  <sheetPr codeName="Blad6">
    <tabColor rgb="FF7030A0"/>
  </sheetPr>
  <dimension ref="B2:J80"/>
  <sheetViews>
    <sheetView showGridLines="0" zoomScale="88" zoomScaleNormal="100" workbookViewId="0">
      <selection activeCell="B31" sqref="B31:J31"/>
    </sheetView>
  </sheetViews>
  <sheetFormatPr baseColWidth="10" defaultColWidth="8.6640625" defaultRowHeight="15" x14ac:dyDescent="0.2"/>
  <cols>
    <col min="1" max="1" width="3" customWidth="1"/>
    <col min="2" max="2" width="4" customWidth="1"/>
    <col min="3" max="3" width="74.5" customWidth="1"/>
    <col min="4" max="4" width="7" customWidth="1"/>
    <col min="5" max="5" width="9" customWidth="1"/>
    <col min="6" max="6" width="11" customWidth="1"/>
    <col min="7" max="7" width="13" customWidth="1"/>
    <col min="8" max="8" width="26" customWidth="1"/>
    <col min="9" max="9" width="18" customWidth="1"/>
    <col min="10" max="10" width="60.83203125" customWidth="1"/>
    <col min="11" max="11" width="3" customWidth="1"/>
  </cols>
  <sheetData>
    <row r="2" spans="2:10" ht="31.5" customHeight="1" x14ac:dyDescent="0.2">
      <c r="B2" s="110" t="s">
        <v>196</v>
      </c>
      <c r="C2" s="110"/>
      <c r="D2" s="110"/>
      <c r="E2" s="110"/>
      <c r="F2" s="110"/>
      <c r="G2" s="110"/>
      <c r="H2" s="110"/>
      <c r="I2" s="110"/>
      <c r="J2" s="110"/>
    </row>
    <row r="3" spans="2:10" ht="30" customHeight="1" x14ac:dyDescent="0.2">
      <c r="B3" s="79" t="s">
        <v>1329</v>
      </c>
      <c r="C3" s="79"/>
      <c r="D3" s="79"/>
      <c r="E3" s="79"/>
      <c r="F3" s="79"/>
      <c r="G3" s="79"/>
      <c r="H3" s="79"/>
      <c r="I3" s="79"/>
      <c r="J3" s="79"/>
    </row>
    <row r="4" spans="2:10" ht="21.75" customHeight="1" x14ac:dyDescent="0.2">
      <c r="B4" s="96" t="s">
        <v>48</v>
      </c>
      <c r="C4" s="96"/>
      <c r="D4" s="97" t="s">
        <v>49</v>
      </c>
      <c r="E4" s="97"/>
      <c r="F4" s="97"/>
      <c r="G4" s="97"/>
      <c r="H4" s="97"/>
      <c r="I4" s="97"/>
      <c r="J4" s="97"/>
    </row>
    <row r="5" spans="2:10" ht="21.75" customHeight="1" x14ac:dyDescent="0.2">
      <c r="B5" s="96" t="s">
        <v>50</v>
      </c>
      <c r="C5" s="96"/>
      <c r="D5" s="97" t="s">
        <v>335</v>
      </c>
      <c r="E5" s="97"/>
      <c r="F5" s="97"/>
      <c r="G5" s="97"/>
      <c r="H5" s="97"/>
      <c r="I5" s="97"/>
      <c r="J5" s="97"/>
    </row>
    <row r="6" spans="2:10" ht="30" customHeight="1" x14ac:dyDescent="0.2">
      <c r="B6" s="96" t="s">
        <v>339</v>
      </c>
      <c r="C6" s="96"/>
      <c r="D6" s="97" t="s">
        <v>500</v>
      </c>
      <c r="E6" s="97"/>
      <c r="F6" s="97"/>
      <c r="G6" s="97"/>
      <c r="H6" s="97"/>
      <c r="I6" s="97"/>
      <c r="J6" s="97"/>
    </row>
    <row r="8" spans="2:10" ht="21.75" customHeight="1" x14ac:dyDescent="0.2">
      <c r="B8" s="111" t="s">
        <v>51</v>
      </c>
      <c r="C8" s="111"/>
      <c r="D8" s="111"/>
      <c r="E8" s="111"/>
      <c r="F8" s="111"/>
      <c r="G8" s="111"/>
      <c r="H8" s="111"/>
      <c r="I8" s="111"/>
      <c r="J8" s="111"/>
    </row>
    <row r="9" spans="2:10" ht="21.75" customHeight="1" x14ac:dyDescent="0.2">
      <c r="B9" s="1"/>
      <c r="C9" s="99" t="s">
        <v>52</v>
      </c>
      <c r="D9" s="99"/>
      <c r="E9" s="99"/>
      <c r="F9" s="99"/>
      <c r="G9" s="99"/>
      <c r="H9" s="1" t="s">
        <v>53</v>
      </c>
      <c r="I9" s="1" t="s">
        <v>41</v>
      </c>
      <c r="J9" s="1" t="s">
        <v>54</v>
      </c>
    </row>
    <row r="10" spans="2:10" ht="27.75" customHeight="1" x14ac:dyDescent="0.2">
      <c r="B10" s="32">
        <v>1</v>
      </c>
      <c r="C10" s="77" t="s">
        <v>197</v>
      </c>
      <c r="D10" s="77"/>
      <c r="E10" s="77"/>
      <c r="F10" s="77"/>
      <c r="G10" s="77"/>
      <c r="H10" s="33"/>
      <c r="I10" s="34"/>
      <c r="J10" s="35"/>
    </row>
    <row r="12" spans="2:10" ht="21.75" customHeight="1" x14ac:dyDescent="0.2">
      <c r="B12" s="111" t="s">
        <v>56</v>
      </c>
      <c r="C12" s="111"/>
      <c r="D12" s="111"/>
      <c r="E12" s="111"/>
      <c r="F12" s="111"/>
      <c r="G12" s="111"/>
      <c r="H12" s="111"/>
      <c r="I12" s="111"/>
      <c r="J12" s="111"/>
    </row>
    <row r="13" spans="2:10" ht="21.75" customHeight="1" x14ac:dyDescent="0.2">
      <c r="B13" s="1"/>
      <c r="C13" s="99" t="s">
        <v>52</v>
      </c>
      <c r="D13" s="99"/>
      <c r="E13" s="99"/>
      <c r="F13" s="99"/>
      <c r="G13" s="99"/>
      <c r="H13" s="1" t="s">
        <v>53</v>
      </c>
      <c r="I13" s="1" t="s">
        <v>41</v>
      </c>
      <c r="J13" s="1" t="s">
        <v>54</v>
      </c>
    </row>
    <row r="14" spans="2:10" ht="27.75" customHeight="1" x14ac:dyDescent="0.2">
      <c r="B14" s="32">
        <v>1</v>
      </c>
      <c r="C14" s="77" t="s">
        <v>198</v>
      </c>
      <c r="D14" s="77"/>
      <c r="E14" s="77"/>
      <c r="F14" s="77"/>
      <c r="G14" s="77"/>
      <c r="H14" s="33"/>
      <c r="I14" s="34"/>
      <c r="J14" s="35"/>
    </row>
    <row r="15" spans="2:10" ht="27.75" customHeight="1" x14ac:dyDescent="0.2">
      <c r="B15" s="32">
        <v>2</v>
      </c>
      <c r="C15" s="77" t="s">
        <v>199</v>
      </c>
      <c r="D15" s="77"/>
      <c r="E15" s="77"/>
      <c r="F15" s="77"/>
      <c r="G15" s="77"/>
      <c r="H15" s="33"/>
      <c r="I15" s="34"/>
      <c r="J15" s="35"/>
    </row>
    <row r="16" spans="2:10" ht="27.75" customHeight="1" x14ac:dyDescent="0.2">
      <c r="B16" s="32">
        <v>3</v>
      </c>
      <c r="C16" s="77" t="s">
        <v>200</v>
      </c>
      <c r="D16" s="77"/>
      <c r="E16" s="77"/>
      <c r="F16" s="77"/>
      <c r="G16" s="77"/>
      <c r="H16" s="33"/>
      <c r="I16" s="34"/>
      <c r="J16" s="35"/>
    </row>
    <row r="17" spans="2:10" ht="27.75" customHeight="1" x14ac:dyDescent="0.2">
      <c r="B17" s="32">
        <v>4</v>
      </c>
      <c r="C17" s="77" t="s">
        <v>201</v>
      </c>
      <c r="D17" s="77"/>
      <c r="E17" s="77"/>
      <c r="F17" s="77"/>
      <c r="G17" s="77"/>
      <c r="H17" s="33"/>
      <c r="I17" s="34"/>
      <c r="J17" s="35"/>
    </row>
    <row r="18" spans="2:10" ht="27.75" customHeight="1" x14ac:dyDescent="0.2">
      <c r="B18" s="32">
        <v>5</v>
      </c>
      <c r="C18" s="77" t="s">
        <v>202</v>
      </c>
      <c r="D18" s="77"/>
      <c r="E18" s="77"/>
      <c r="F18" s="77"/>
      <c r="G18" s="77"/>
      <c r="H18" s="33"/>
      <c r="I18" s="34"/>
      <c r="J18" s="35"/>
    </row>
    <row r="19" spans="2:10" ht="27.75" customHeight="1" x14ac:dyDescent="0.2">
      <c r="B19" s="32">
        <v>6</v>
      </c>
      <c r="C19" s="77" t="s">
        <v>156</v>
      </c>
      <c r="D19" s="77"/>
      <c r="E19" s="77"/>
      <c r="F19" s="77"/>
      <c r="G19" s="77"/>
      <c r="H19" s="33"/>
      <c r="I19" s="34"/>
      <c r="J19" s="35"/>
    </row>
    <row r="21" spans="2:10" ht="21.75" customHeight="1" x14ac:dyDescent="0.2">
      <c r="B21" s="111" t="s">
        <v>563</v>
      </c>
      <c r="C21" s="111"/>
      <c r="D21" s="111"/>
      <c r="E21" s="111"/>
      <c r="F21" s="111"/>
      <c r="G21" s="111"/>
      <c r="H21" s="111"/>
      <c r="I21" s="111"/>
      <c r="J21" s="111"/>
    </row>
    <row r="22" spans="2:10" ht="21.75" customHeight="1" x14ac:dyDescent="0.2">
      <c r="B22" s="1"/>
      <c r="C22" s="99" t="s">
        <v>340</v>
      </c>
      <c r="D22" s="99"/>
      <c r="E22" s="99"/>
      <c r="F22" s="99"/>
      <c r="G22" s="99"/>
      <c r="H22" s="1" t="s">
        <v>53</v>
      </c>
      <c r="I22" s="1" t="s">
        <v>41</v>
      </c>
      <c r="J22" s="1" t="s">
        <v>54</v>
      </c>
    </row>
    <row r="23" spans="2:10" ht="68" customHeight="1" x14ac:dyDescent="0.2">
      <c r="B23" s="32">
        <v>1</v>
      </c>
      <c r="C23" s="77" t="s">
        <v>1330</v>
      </c>
      <c r="D23" s="77"/>
      <c r="E23" s="77"/>
      <c r="F23" s="77"/>
      <c r="G23" s="77"/>
      <c r="H23" s="33"/>
      <c r="I23" s="34"/>
      <c r="J23" s="35"/>
    </row>
    <row r="24" spans="2:10" ht="56" customHeight="1" x14ac:dyDescent="0.2">
      <c r="B24" s="32">
        <v>2</v>
      </c>
      <c r="C24" s="77" t="s">
        <v>1331</v>
      </c>
      <c r="D24" s="77"/>
      <c r="E24" s="77"/>
      <c r="F24" s="77"/>
      <c r="G24" s="77"/>
      <c r="H24" s="33"/>
      <c r="I24" s="34"/>
      <c r="J24" s="35"/>
    </row>
    <row r="25" spans="2:10" ht="68" customHeight="1" x14ac:dyDescent="0.2">
      <c r="B25" s="32">
        <v>3</v>
      </c>
      <c r="C25" s="77" t="s">
        <v>1332</v>
      </c>
      <c r="D25" s="77"/>
      <c r="E25" s="77"/>
      <c r="F25" s="77"/>
      <c r="G25" s="77"/>
      <c r="H25" s="33"/>
      <c r="I25" s="34"/>
      <c r="J25" s="35"/>
    </row>
    <row r="26" spans="2:10" ht="56" customHeight="1" x14ac:dyDescent="0.2">
      <c r="B26" s="32">
        <v>4</v>
      </c>
      <c r="C26" s="77" t="s">
        <v>1333</v>
      </c>
      <c r="D26" s="77"/>
      <c r="E26" s="77"/>
      <c r="F26" s="77"/>
      <c r="G26" s="77"/>
      <c r="H26" s="33"/>
      <c r="I26" s="34"/>
      <c r="J26" s="35"/>
    </row>
    <row r="29" spans="2:10" ht="27.75" customHeight="1" x14ac:dyDescent="0.2">
      <c r="B29" s="105" t="s">
        <v>562</v>
      </c>
      <c r="C29" s="105"/>
      <c r="D29" s="105"/>
      <c r="E29" s="105"/>
      <c r="F29" s="105"/>
      <c r="G29" s="105"/>
      <c r="H29" s="105"/>
      <c r="I29" s="105"/>
      <c r="J29" s="105"/>
    </row>
    <row r="30" spans="2:10" ht="31.5" customHeight="1" x14ac:dyDescent="0.2">
      <c r="B30" s="1" t="s">
        <v>64</v>
      </c>
      <c r="C30" s="1" t="s">
        <v>52</v>
      </c>
      <c r="D30" s="1" t="s">
        <v>65</v>
      </c>
      <c r="E30" s="1" t="s">
        <v>66</v>
      </c>
      <c r="F30" s="1" t="s">
        <v>67</v>
      </c>
      <c r="G30" s="1" t="s">
        <v>41</v>
      </c>
      <c r="H30" s="1" t="s">
        <v>68</v>
      </c>
      <c r="I30" s="1" t="s">
        <v>69</v>
      </c>
      <c r="J30" s="1" t="s">
        <v>338</v>
      </c>
    </row>
    <row r="31" spans="2:10" ht="24" customHeight="1" x14ac:dyDescent="0.2">
      <c r="B31" s="75" t="s">
        <v>203</v>
      </c>
      <c r="C31" s="75"/>
      <c r="D31" s="75"/>
      <c r="E31" s="75"/>
      <c r="F31" s="75"/>
      <c r="G31" s="75"/>
      <c r="H31" s="75"/>
      <c r="I31" s="75"/>
      <c r="J31" s="75"/>
    </row>
    <row r="32" spans="2:10" ht="59" customHeight="1" x14ac:dyDescent="0.2">
      <c r="B32" s="32">
        <v>1</v>
      </c>
      <c r="C32" s="2" t="s">
        <v>204</v>
      </c>
      <c r="D32" s="36">
        <v>5</v>
      </c>
      <c r="E32" s="37"/>
      <c r="F32" s="33"/>
      <c r="G32" s="38" t="str">
        <f t="shared" ref="G32:G42" si="0">IF(E32="","❌ Ej påbörjad",IF(E32&gt;D32,"🔵 Överträffad",IF(E32=D32,"🟢 Uppnådd","🟡 Pågående")))</f>
        <v>❌ Ej påbörjad</v>
      </c>
      <c r="H32" s="39" t="s">
        <v>309</v>
      </c>
      <c r="I32" s="35"/>
      <c r="J32" s="40" t="s">
        <v>458</v>
      </c>
    </row>
    <row r="33" spans="2:10" ht="60" customHeight="1" x14ac:dyDescent="0.2">
      <c r="B33" s="32">
        <v>2</v>
      </c>
      <c r="C33" s="2" t="s">
        <v>206</v>
      </c>
      <c r="D33" s="36">
        <v>5</v>
      </c>
      <c r="E33" s="37"/>
      <c r="F33" s="33"/>
      <c r="G33" s="38" t="str">
        <f t="shared" si="0"/>
        <v>❌ Ej påbörjad</v>
      </c>
      <c r="H33" s="39" t="s">
        <v>309</v>
      </c>
      <c r="I33" s="35"/>
      <c r="J33" s="40" t="s">
        <v>459</v>
      </c>
    </row>
    <row r="34" spans="2:10" ht="48" customHeight="1" x14ac:dyDescent="0.2">
      <c r="B34" s="32">
        <v>3</v>
      </c>
      <c r="C34" s="2" t="s">
        <v>207</v>
      </c>
      <c r="D34" s="36">
        <v>5</v>
      </c>
      <c r="E34" s="37"/>
      <c r="F34" s="33"/>
      <c r="G34" s="38" t="str">
        <f t="shared" si="0"/>
        <v>❌ Ej påbörjad</v>
      </c>
      <c r="H34" s="39" t="s">
        <v>309</v>
      </c>
      <c r="I34" s="35"/>
      <c r="J34" s="40" t="s">
        <v>460</v>
      </c>
    </row>
    <row r="35" spans="2:10" ht="55" customHeight="1" x14ac:dyDescent="0.2">
      <c r="B35" s="32">
        <v>4</v>
      </c>
      <c r="C35" s="2" t="s">
        <v>208</v>
      </c>
      <c r="D35" s="36">
        <v>5</v>
      </c>
      <c r="E35" s="37"/>
      <c r="F35" s="33"/>
      <c r="G35" s="38" t="str">
        <f t="shared" si="0"/>
        <v>❌ Ej påbörjad</v>
      </c>
      <c r="H35" s="39" t="s">
        <v>309</v>
      </c>
      <c r="I35" s="35"/>
      <c r="J35" s="40" t="s">
        <v>461</v>
      </c>
    </row>
    <row r="36" spans="2:10" ht="31" customHeight="1" x14ac:dyDescent="0.2">
      <c r="B36" s="32">
        <v>5</v>
      </c>
      <c r="C36" s="2" t="s">
        <v>209</v>
      </c>
      <c r="D36" s="36">
        <v>5</v>
      </c>
      <c r="E36" s="37"/>
      <c r="F36" s="33"/>
      <c r="G36" s="38" t="str">
        <f t="shared" si="0"/>
        <v>❌ Ej påbörjad</v>
      </c>
      <c r="H36" s="39" t="s">
        <v>309</v>
      </c>
      <c r="I36" s="35"/>
      <c r="J36" s="40" t="s">
        <v>462</v>
      </c>
    </row>
    <row r="37" spans="2:10" ht="46" customHeight="1" x14ac:dyDescent="0.2">
      <c r="B37" s="32">
        <v>6</v>
      </c>
      <c r="C37" s="2" t="s">
        <v>210</v>
      </c>
      <c r="D37" s="36">
        <v>5</v>
      </c>
      <c r="E37" s="37"/>
      <c r="F37" s="33"/>
      <c r="G37" s="38" t="str">
        <f t="shared" si="0"/>
        <v>❌ Ej påbörjad</v>
      </c>
      <c r="H37" s="39" t="s">
        <v>309</v>
      </c>
      <c r="I37" s="35"/>
      <c r="J37" s="40" t="s">
        <v>463</v>
      </c>
    </row>
    <row r="38" spans="2:10" ht="36" customHeight="1" x14ac:dyDescent="0.2">
      <c r="B38" s="32">
        <v>7</v>
      </c>
      <c r="C38" s="2" t="s">
        <v>211</v>
      </c>
      <c r="D38" s="36">
        <v>5</v>
      </c>
      <c r="E38" s="37"/>
      <c r="F38" s="33"/>
      <c r="G38" s="38" t="str">
        <f t="shared" si="0"/>
        <v>❌ Ej påbörjad</v>
      </c>
      <c r="H38" s="39" t="s">
        <v>309</v>
      </c>
      <c r="I38" s="35"/>
      <c r="J38" s="40" t="s">
        <v>464</v>
      </c>
    </row>
    <row r="39" spans="2:10" ht="36" customHeight="1" x14ac:dyDescent="0.2">
      <c r="B39" s="32">
        <v>8</v>
      </c>
      <c r="C39" s="2" t="s">
        <v>212</v>
      </c>
      <c r="D39" s="36">
        <v>5</v>
      </c>
      <c r="E39" s="37"/>
      <c r="F39" s="33"/>
      <c r="G39" s="38" t="str">
        <f t="shared" si="0"/>
        <v>❌ Ej påbörjad</v>
      </c>
      <c r="H39" s="39" t="s">
        <v>309</v>
      </c>
      <c r="I39" s="35"/>
      <c r="J39" s="40" t="s">
        <v>465</v>
      </c>
    </row>
    <row r="40" spans="2:10" ht="36" customHeight="1" x14ac:dyDescent="0.2">
      <c r="B40" s="32">
        <v>9</v>
      </c>
      <c r="C40" s="2" t="s">
        <v>213</v>
      </c>
      <c r="D40" s="36">
        <v>5</v>
      </c>
      <c r="E40" s="37"/>
      <c r="F40" s="33"/>
      <c r="G40" s="38" t="str">
        <f t="shared" si="0"/>
        <v>❌ Ej påbörjad</v>
      </c>
      <c r="H40" s="39" t="s">
        <v>309</v>
      </c>
      <c r="I40" s="35"/>
      <c r="J40" s="40" t="s">
        <v>466</v>
      </c>
    </row>
    <row r="41" spans="2:10" ht="36" customHeight="1" x14ac:dyDescent="0.2">
      <c r="B41" s="32">
        <v>10</v>
      </c>
      <c r="C41" s="2" t="s">
        <v>214</v>
      </c>
      <c r="D41" s="36">
        <v>3</v>
      </c>
      <c r="E41" s="37"/>
      <c r="F41" s="33"/>
      <c r="G41" s="38" t="str">
        <f t="shared" si="0"/>
        <v>❌ Ej påbörjad</v>
      </c>
      <c r="H41" s="39" t="s">
        <v>309</v>
      </c>
      <c r="I41" s="35"/>
      <c r="J41" s="40" t="s">
        <v>467</v>
      </c>
    </row>
    <row r="42" spans="2:10" ht="58" customHeight="1" x14ac:dyDescent="0.2">
      <c r="B42" s="32">
        <v>11</v>
      </c>
      <c r="C42" s="2" t="s">
        <v>215</v>
      </c>
      <c r="D42" s="36">
        <v>3</v>
      </c>
      <c r="E42" s="37"/>
      <c r="F42" s="33"/>
      <c r="G42" s="38" t="str">
        <f t="shared" si="0"/>
        <v>❌ Ej påbörjad</v>
      </c>
      <c r="H42" s="39" t="s">
        <v>309</v>
      </c>
      <c r="I42" s="35"/>
      <c r="J42" s="40" t="s">
        <v>468</v>
      </c>
    </row>
    <row r="43" spans="2:10" ht="24" customHeight="1" x14ac:dyDescent="0.2">
      <c r="B43" s="75" t="s">
        <v>84</v>
      </c>
      <c r="C43" s="75"/>
      <c r="D43" s="75"/>
      <c r="E43" s="75"/>
      <c r="F43" s="75"/>
      <c r="G43" s="75"/>
      <c r="H43" s="75"/>
      <c r="I43" s="75"/>
      <c r="J43" s="75"/>
    </row>
    <row r="44" spans="2:10" ht="36" customHeight="1" x14ac:dyDescent="0.2">
      <c r="B44" s="32">
        <v>12</v>
      </c>
      <c r="C44" s="2" t="s">
        <v>216</v>
      </c>
      <c r="D44" s="36">
        <v>5</v>
      </c>
      <c r="E44" s="37"/>
      <c r="F44" s="33"/>
      <c r="G44" s="38" t="str">
        <f t="shared" ref="G44:G56" si="1">IF(E44="","❌ Ej påbörjad",IF(E44&gt;D44,"🔵 Överträffad",IF(E44=D44,"🟢 Uppnådd","🟡 Pågående")))</f>
        <v>❌ Ej påbörjad</v>
      </c>
      <c r="H44" s="39" t="s">
        <v>303</v>
      </c>
      <c r="I44" s="35"/>
      <c r="J44" s="40" t="s">
        <v>469</v>
      </c>
    </row>
    <row r="45" spans="2:10" ht="36" customHeight="1" x14ac:dyDescent="0.2">
      <c r="B45" s="32">
        <v>13</v>
      </c>
      <c r="C45" s="2" t="s">
        <v>217</v>
      </c>
      <c r="D45" s="36">
        <v>5</v>
      </c>
      <c r="E45" s="37"/>
      <c r="F45" s="33"/>
      <c r="G45" s="38" t="str">
        <f t="shared" si="1"/>
        <v>❌ Ej påbörjad</v>
      </c>
      <c r="H45" s="39" t="s">
        <v>303</v>
      </c>
      <c r="I45" s="35"/>
      <c r="J45" s="40" t="s">
        <v>470</v>
      </c>
    </row>
    <row r="46" spans="2:10" ht="36" customHeight="1" x14ac:dyDescent="0.2">
      <c r="B46" s="32">
        <v>14</v>
      </c>
      <c r="C46" s="2" t="s">
        <v>218</v>
      </c>
      <c r="D46" s="36">
        <v>5</v>
      </c>
      <c r="E46" s="37"/>
      <c r="F46" s="33"/>
      <c r="G46" s="38" t="str">
        <f t="shared" si="1"/>
        <v>❌ Ej påbörjad</v>
      </c>
      <c r="H46" s="39" t="s">
        <v>303</v>
      </c>
      <c r="I46" s="35"/>
      <c r="J46" s="40" t="s">
        <v>471</v>
      </c>
    </row>
    <row r="47" spans="2:10" ht="36" customHeight="1" x14ac:dyDescent="0.2">
      <c r="B47" s="32">
        <v>15</v>
      </c>
      <c r="C47" s="2" t="s">
        <v>219</v>
      </c>
      <c r="D47" s="36">
        <v>5</v>
      </c>
      <c r="E47" s="37"/>
      <c r="F47" s="33"/>
      <c r="G47" s="38" t="str">
        <f t="shared" si="1"/>
        <v>❌ Ej påbörjad</v>
      </c>
      <c r="H47" s="39" t="s">
        <v>303</v>
      </c>
      <c r="I47" s="35"/>
      <c r="J47" s="40" t="s">
        <v>472</v>
      </c>
    </row>
    <row r="48" spans="2:10" ht="36" customHeight="1" x14ac:dyDescent="0.2">
      <c r="B48" s="32">
        <v>16</v>
      </c>
      <c r="C48" s="2" t="s">
        <v>220</v>
      </c>
      <c r="D48" s="36">
        <v>5</v>
      </c>
      <c r="E48" s="37"/>
      <c r="F48" s="33"/>
      <c r="G48" s="38" t="str">
        <f t="shared" si="1"/>
        <v>❌ Ej påbörjad</v>
      </c>
      <c r="H48" s="39" t="s">
        <v>303</v>
      </c>
      <c r="I48" s="35"/>
      <c r="J48" s="40" t="s">
        <v>473</v>
      </c>
    </row>
    <row r="49" spans="2:10" ht="36" customHeight="1" x14ac:dyDescent="0.2">
      <c r="B49" s="32">
        <v>17</v>
      </c>
      <c r="C49" s="2" t="s">
        <v>221</v>
      </c>
      <c r="D49" s="36">
        <v>5</v>
      </c>
      <c r="E49" s="37"/>
      <c r="F49" s="33"/>
      <c r="G49" s="38" t="str">
        <f t="shared" si="1"/>
        <v>❌ Ej påbörjad</v>
      </c>
      <c r="H49" s="39" t="s">
        <v>303</v>
      </c>
      <c r="I49" s="35"/>
      <c r="J49" s="40" t="s">
        <v>474</v>
      </c>
    </row>
    <row r="50" spans="2:10" ht="36" customHeight="1" x14ac:dyDescent="0.2">
      <c r="B50" s="32">
        <v>18</v>
      </c>
      <c r="C50" s="2" t="s">
        <v>222</v>
      </c>
      <c r="D50" s="36">
        <v>5</v>
      </c>
      <c r="E50" s="37"/>
      <c r="F50" s="33"/>
      <c r="G50" s="38" t="str">
        <f t="shared" si="1"/>
        <v>❌ Ej påbörjad</v>
      </c>
      <c r="H50" s="39" t="s">
        <v>303</v>
      </c>
      <c r="I50" s="35"/>
      <c r="J50" s="40" t="s">
        <v>475</v>
      </c>
    </row>
    <row r="51" spans="2:10" ht="36" customHeight="1" x14ac:dyDescent="0.2">
      <c r="B51" s="32">
        <v>19</v>
      </c>
      <c r="C51" s="2" t="s">
        <v>223</v>
      </c>
      <c r="D51" s="36">
        <v>5</v>
      </c>
      <c r="E51" s="37"/>
      <c r="F51" s="33"/>
      <c r="G51" s="38" t="str">
        <f t="shared" si="1"/>
        <v>❌ Ej påbörjad</v>
      </c>
      <c r="H51" s="39" t="s">
        <v>303</v>
      </c>
      <c r="I51" s="35"/>
      <c r="J51" s="40" t="s">
        <v>476</v>
      </c>
    </row>
    <row r="52" spans="2:10" ht="36" customHeight="1" x14ac:dyDescent="0.2">
      <c r="B52" s="32">
        <v>20</v>
      </c>
      <c r="C52" s="2" t="s">
        <v>224</v>
      </c>
      <c r="D52" s="36">
        <v>5</v>
      </c>
      <c r="E52" s="37"/>
      <c r="F52" s="33"/>
      <c r="G52" s="38" t="str">
        <f t="shared" si="1"/>
        <v>❌ Ej påbörjad</v>
      </c>
      <c r="H52" s="39" t="s">
        <v>303</v>
      </c>
      <c r="I52" s="35"/>
      <c r="J52" s="40" t="s">
        <v>477</v>
      </c>
    </row>
    <row r="53" spans="2:10" ht="36" customHeight="1" x14ac:dyDescent="0.2">
      <c r="B53" s="32">
        <v>21</v>
      </c>
      <c r="C53" s="2" t="s">
        <v>225</v>
      </c>
      <c r="D53" s="36">
        <v>5</v>
      </c>
      <c r="E53" s="37"/>
      <c r="F53" s="33"/>
      <c r="G53" s="38" t="str">
        <f t="shared" si="1"/>
        <v>❌ Ej påbörjad</v>
      </c>
      <c r="H53" s="39" t="s">
        <v>303</v>
      </c>
      <c r="I53" s="35"/>
      <c r="J53" s="40" t="s">
        <v>478</v>
      </c>
    </row>
    <row r="54" spans="2:10" ht="36" customHeight="1" x14ac:dyDescent="0.2">
      <c r="B54" s="32">
        <v>22</v>
      </c>
      <c r="C54" s="2" t="s">
        <v>226</v>
      </c>
      <c r="D54" s="36">
        <v>5</v>
      </c>
      <c r="E54" s="37"/>
      <c r="F54" s="33"/>
      <c r="G54" s="38" t="str">
        <f t="shared" si="1"/>
        <v>❌ Ej påbörjad</v>
      </c>
      <c r="H54" s="39" t="s">
        <v>303</v>
      </c>
      <c r="I54" s="35"/>
      <c r="J54" s="40" t="s">
        <v>479</v>
      </c>
    </row>
    <row r="55" spans="2:10" ht="36" customHeight="1" x14ac:dyDescent="0.2">
      <c r="B55" s="32">
        <v>23</v>
      </c>
      <c r="C55" s="2" t="s">
        <v>227</v>
      </c>
      <c r="D55" s="36">
        <v>4</v>
      </c>
      <c r="E55" s="37"/>
      <c r="F55" s="33"/>
      <c r="G55" s="38" t="str">
        <f t="shared" si="1"/>
        <v>❌ Ej påbörjad</v>
      </c>
      <c r="H55" s="39" t="s">
        <v>303</v>
      </c>
      <c r="I55" s="35"/>
      <c r="J55" s="40" t="s">
        <v>480</v>
      </c>
    </row>
    <row r="56" spans="2:10" ht="36" customHeight="1" x14ac:dyDescent="0.2">
      <c r="B56" s="32">
        <v>24</v>
      </c>
      <c r="C56" s="2" t="s">
        <v>228</v>
      </c>
      <c r="D56" s="36">
        <v>3</v>
      </c>
      <c r="E56" s="37"/>
      <c r="F56" s="33"/>
      <c r="G56" s="38" t="str">
        <f t="shared" si="1"/>
        <v>❌ Ej påbörjad</v>
      </c>
      <c r="H56" s="39" t="s">
        <v>303</v>
      </c>
      <c r="I56" s="35"/>
      <c r="J56" s="40" t="s">
        <v>481</v>
      </c>
    </row>
    <row r="57" spans="2:10" ht="24" customHeight="1" x14ac:dyDescent="0.2">
      <c r="B57" s="75" t="s">
        <v>176</v>
      </c>
      <c r="C57" s="75"/>
      <c r="D57" s="75"/>
      <c r="E57" s="75"/>
      <c r="F57" s="75"/>
      <c r="G57" s="75"/>
      <c r="H57" s="75"/>
      <c r="I57" s="75"/>
      <c r="J57" s="75"/>
    </row>
    <row r="58" spans="2:10" ht="36" customHeight="1" x14ac:dyDescent="0.2">
      <c r="B58" s="32">
        <v>25</v>
      </c>
      <c r="C58" s="2" t="s">
        <v>229</v>
      </c>
      <c r="D58" s="36">
        <v>5</v>
      </c>
      <c r="E58" s="37"/>
      <c r="F58" s="33"/>
      <c r="G58" s="38" t="str">
        <f>IF(E58="","❌ Ej påbörjad",IF(E58&gt;D58,"🔵 Överträffad",IF(E58=D58,"🟢 Uppnådd","🟡 Pågående")))</f>
        <v>❌ Ej påbörjad</v>
      </c>
      <c r="H58" s="39" t="s">
        <v>309</v>
      </c>
      <c r="I58" s="35"/>
      <c r="J58" s="40" t="s">
        <v>482</v>
      </c>
    </row>
    <row r="59" spans="2:10" ht="36" customHeight="1" x14ac:dyDescent="0.2">
      <c r="B59" s="32">
        <v>26</v>
      </c>
      <c r="C59" s="2" t="s">
        <v>230</v>
      </c>
      <c r="D59" s="36">
        <v>5</v>
      </c>
      <c r="E59" s="37"/>
      <c r="F59" s="33"/>
      <c r="G59" s="38" t="str">
        <f>IF(E59="","❌ Ej påbörjad",IF(E59&gt;D59,"🔵 Överträffad",IF(E59=D59,"🟢 Uppnådd","🟡 Pågående")))</f>
        <v>❌ Ej påbörjad</v>
      </c>
      <c r="H59" s="39" t="s">
        <v>309</v>
      </c>
      <c r="I59" s="35"/>
      <c r="J59" s="40" t="s">
        <v>483</v>
      </c>
    </row>
    <row r="60" spans="2:10" ht="36" customHeight="1" x14ac:dyDescent="0.2">
      <c r="B60" s="32">
        <v>27</v>
      </c>
      <c r="C60" s="2" t="s">
        <v>231</v>
      </c>
      <c r="D60" s="36">
        <v>5</v>
      </c>
      <c r="E60" s="37"/>
      <c r="F60" s="33"/>
      <c r="G60" s="38" t="str">
        <f>IF(E60="","❌ Ej påbörjad",IF(E60&gt;D60,"🔵 Överträffad",IF(E60=D60,"🟢 Uppnådd","🟡 Pågående")))</f>
        <v>❌ Ej påbörjad</v>
      </c>
      <c r="H60" s="39" t="s">
        <v>309</v>
      </c>
      <c r="I60" s="35"/>
      <c r="J60" s="40" t="s">
        <v>484</v>
      </c>
    </row>
    <row r="61" spans="2:10" ht="36" customHeight="1" x14ac:dyDescent="0.2">
      <c r="B61" s="32">
        <v>28</v>
      </c>
      <c r="C61" s="2" t="s">
        <v>232</v>
      </c>
      <c r="D61" s="36">
        <v>5</v>
      </c>
      <c r="E61" s="37"/>
      <c r="F61" s="33"/>
      <c r="G61" s="38" t="str">
        <f>IF(E61="","❌ Ej påbörjad",IF(E61&gt;D61,"🔵 Överträffad",IF(E61=D61,"🟢 Uppnådd","🟡 Pågående")))</f>
        <v>❌ Ej påbörjad</v>
      </c>
      <c r="H61" s="39" t="s">
        <v>309</v>
      </c>
      <c r="I61" s="35"/>
      <c r="J61" s="40" t="s">
        <v>485</v>
      </c>
    </row>
    <row r="62" spans="2:10" ht="36" customHeight="1" x14ac:dyDescent="0.2">
      <c r="B62" s="32">
        <v>29</v>
      </c>
      <c r="C62" s="2" t="s">
        <v>233</v>
      </c>
      <c r="D62" s="36">
        <v>3</v>
      </c>
      <c r="E62" s="37"/>
      <c r="F62" s="33"/>
      <c r="G62" s="38" t="str">
        <f>IF(E62="","❌ Ej påbörjad",IF(E62&gt;D62,"🔵 Överträffad",IF(E62=D62,"🟢 Uppnådd","🟡 Pågående")))</f>
        <v>❌ Ej påbörjad</v>
      </c>
      <c r="H62" s="39" t="s">
        <v>309</v>
      </c>
      <c r="I62" s="35"/>
      <c r="J62" s="40" t="s">
        <v>486</v>
      </c>
    </row>
    <row r="63" spans="2:10" ht="24" customHeight="1" x14ac:dyDescent="0.2">
      <c r="B63" s="75" t="s">
        <v>234</v>
      </c>
      <c r="C63" s="75"/>
      <c r="D63" s="75"/>
      <c r="E63" s="75"/>
      <c r="F63" s="75"/>
      <c r="G63" s="75"/>
      <c r="H63" s="75"/>
      <c r="I63" s="75"/>
      <c r="J63" s="75"/>
    </row>
    <row r="64" spans="2:10" ht="36" customHeight="1" x14ac:dyDescent="0.2">
      <c r="B64" s="32">
        <v>30</v>
      </c>
      <c r="C64" s="2" t="s">
        <v>235</v>
      </c>
      <c r="D64" s="36">
        <v>5</v>
      </c>
      <c r="E64" s="37"/>
      <c r="F64" s="33"/>
      <c r="G64" s="38" t="str">
        <f t="shared" ref="G64:G72" si="2">IF(E64="","❌ Ej påbörjad",IF(E64&gt;D64,"🔵 Överträffad",IF(E64=D64,"🟢 Uppnådd","🟡 Pågående")))</f>
        <v>❌ Ej påbörjad</v>
      </c>
      <c r="H64" s="39" t="s">
        <v>303</v>
      </c>
      <c r="I64" s="35"/>
      <c r="J64" s="40" t="s">
        <v>487</v>
      </c>
    </row>
    <row r="65" spans="2:10" ht="36" customHeight="1" x14ac:dyDescent="0.2">
      <c r="B65" s="32">
        <v>31</v>
      </c>
      <c r="C65" s="2" t="s">
        <v>236</v>
      </c>
      <c r="D65" s="36">
        <v>5</v>
      </c>
      <c r="E65" s="37"/>
      <c r="F65" s="33"/>
      <c r="G65" s="38" t="str">
        <f t="shared" si="2"/>
        <v>❌ Ej påbörjad</v>
      </c>
      <c r="H65" s="39" t="s">
        <v>303</v>
      </c>
      <c r="I65" s="35"/>
      <c r="J65" s="40" t="s">
        <v>488</v>
      </c>
    </row>
    <row r="66" spans="2:10" ht="36" customHeight="1" x14ac:dyDescent="0.2">
      <c r="B66" s="32">
        <v>32</v>
      </c>
      <c r="C66" s="2" t="s">
        <v>237</v>
      </c>
      <c r="D66" s="36">
        <v>5</v>
      </c>
      <c r="E66" s="37"/>
      <c r="F66" s="33"/>
      <c r="G66" s="38" t="str">
        <f t="shared" si="2"/>
        <v>❌ Ej påbörjad</v>
      </c>
      <c r="H66" s="39" t="s">
        <v>303</v>
      </c>
      <c r="I66" s="35"/>
      <c r="J66" s="40" t="s">
        <v>489</v>
      </c>
    </row>
    <row r="67" spans="2:10" ht="36" customHeight="1" x14ac:dyDescent="0.2">
      <c r="B67" s="32">
        <v>33</v>
      </c>
      <c r="C67" s="2" t="s">
        <v>238</v>
      </c>
      <c r="D67" s="36">
        <v>5</v>
      </c>
      <c r="E67" s="37"/>
      <c r="F67" s="33"/>
      <c r="G67" s="38" t="str">
        <f t="shared" si="2"/>
        <v>❌ Ej påbörjad</v>
      </c>
      <c r="H67" s="39" t="s">
        <v>303</v>
      </c>
      <c r="I67" s="35"/>
      <c r="J67" s="40" t="s">
        <v>490</v>
      </c>
    </row>
    <row r="68" spans="2:10" ht="36" customHeight="1" x14ac:dyDescent="0.2">
      <c r="B68" s="32">
        <v>34</v>
      </c>
      <c r="C68" s="2" t="s">
        <v>239</v>
      </c>
      <c r="D68" s="36">
        <v>5</v>
      </c>
      <c r="E68" s="37"/>
      <c r="F68" s="33"/>
      <c r="G68" s="38" t="str">
        <f t="shared" si="2"/>
        <v>❌ Ej påbörjad</v>
      </c>
      <c r="H68" s="39" t="s">
        <v>303</v>
      </c>
      <c r="I68" s="35"/>
      <c r="J68" s="40" t="s">
        <v>491</v>
      </c>
    </row>
    <row r="69" spans="2:10" ht="36" customHeight="1" x14ac:dyDescent="0.2">
      <c r="B69" s="32">
        <v>35</v>
      </c>
      <c r="C69" s="2" t="s">
        <v>240</v>
      </c>
      <c r="D69" s="36">
        <v>5</v>
      </c>
      <c r="E69" s="37"/>
      <c r="F69" s="33"/>
      <c r="G69" s="38" t="str">
        <f t="shared" si="2"/>
        <v>❌ Ej påbörjad</v>
      </c>
      <c r="H69" s="39" t="s">
        <v>303</v>
      </c>
      <c r="I69" s="35"/>
      <c r="J69" s="40" t="s">
        <v>492</v>
      </c>
    </row>
    <row r="70" spans="2:10" ht="36" customHeight="1" x14ac:dyDescent="0.2">
      <c r="B70" s="32">
        <v>36</v>
      </c>
      <c r="C70" s="2" t="s">
        <v>241</v>
      </c>
      <c r="D70" s="36">
        <v>5</v>
      </c>
      <c r="E70" s="37"/>
      <c r="F70" s="33"/>
      <c r="G70" s="38" t="str">
        <f t="shared" si="2"/>
        <v>❌ Ej påbörjad</v>
      </c>
      <c r="H70" s="39" t="s">
        <v>303</v>
      </c>
      <c r="I70" s="35"/>
      <c r="J70" s="40" t="s">
        <v>493</v>
      </c>
    </row>
    <row r="71" spans="2:10" ht="36" customHeight="1" x14ac:dyDescent="0.2">
      <c r="B71" s="32">
        <v>37</v>
      </c>
      <c r="C71" s="2" t="s">
        <v>242</v>
      </c>
      <c r="D71" s="36">
        <v>4</v>
      </c>
      <c r="E71" s="37"/>
      <c r="F71" s="33"/>
      <c r="G71" s="38" t="str">
        <f t="shared" si="2"/>
        <v>❌ Ej påbörjad</v>
      </c>
      <c r="H71" s="39" t="s">
        <v>303</v>
      </c>
      <c r="I71" s="35"/>
      <c r="J71" s="40" t="s">
        <v>494</v>
      </c>
    </row>
    <row r="72" spans="2:10" ht="36" customHeight="1" x14ac:dyDescent="0.2">
      <c r="B72" s="32">
        <v>38</v>
      </c>
      <c r="C72" s="2" t="s">
        <v>243</v>
      </c>
      <c r="D72" s="36">
        <v>5</v>
      </c>
      <c r="E72" s="37"/>
      <c r="F72" s="33"/>
      <c r="G72" s="38" t="str">
        <f t="shared" si="2"/>
        <v>❌ Ej påbörjad</v>
      </c>
      <c r="H72" s="39" t="s">
        <v>303</v>
      </c>
      <c r="I72" s="35"/>
      <c r="J72" s="40" t="s">
        <v>495</v>
      </c>
    </row>
    <row r="73" spans="2:10" ht="24" customHeight="1" x14ac:dyDescent="0.2">
      <c r="B73" s="75" t="s">
        <v>244</v>
      </c>
      <c r="C73" s="75"/>
      <c r="D73" s="75"/>
      <c r="E73" s="75"/>
      <c r="F73" s="75"/>
      <c r="G73" s="75"/>
      <c r="H73" s="75"/>
      <c r="I73" s="75"/>
      <c r="J73" s="75"/>
    </row>
    <row r="74" spans="2:10" ht="36" customHeight="1" x14ac:dyDescent="0.2">
      <c r="B74" s="32">
        <v>39</v>
      </c>
      <c r="C74" s="2" t="s">
        <v>245</v>
      </c>
      <c r="D74" s="36">
        <v>5</v>
      </c>
      <c r="E74" s="37"/>
      <c r="F74" s="33"/>
      <c r="G74" s="38" t="str">
        <f>IF(E74="","❌ Ej påbörjad",IF(E74&gt;D74,"🔵 Överträffad",IF(E74=D74,"🟢 Uppnådd","🟡 Pågående")))</f>
        <v>❌ Ej påbörjad</v>
      </c>
      <c r="H74" s="39" t="s">
        <v>303</v>
      </c>
      <c r="I74" s="35"/>
      <c r="J74" s="40" t="s">
        <v>496</v>
      </c>
    </row>
    <row r="75" spans="2:10" ht="36" customHeight="1" x14ac:dyDescent="0.2">
      <c r="B75" s="32">
        <v>40</v>
      </c>
      <c r="C75" s="2" t="s">
        <v>246</v>
      </c>
      <c r="D75" s="36">
        <v>5</v>
      </c>
      <c r="E75" s="37"/>
      <c r="F75" s="33"/>
      <c r="G75" s="38" t="str">
        <f>IF(E75="","❌ Ej påbörjad",IF(E75&gt;D75,"🔵 Överträffad",IF(E75=D75,"🟢 Uppnådd","🟡 Pågående")))</f>
        <v>❌ Ej påbörjad</v>
      </c>
      <c r="H75" s="39" t="s">
        <v>303</v>
      </c>
      <c r="I75" s="35"/>
      <c r="J75" s="40" t="s">
        <v>497</v>
      </c>
    </row>
    <row r="76" spans="2:10" ht="36" customHeight="1" x14ac:dyDescent="0.2">
      <c r="B76" s="32">
        <v>41</v>
      </c>
      <c r="C76" s="2" t="s">
        <v>247</v>
      </c>
      <c r="D76" s="36">
        <v>4</v>
      </c>
      <c r="E76" s="37"/>
      <c r="F76" s="33"/>
      <c r="G76" s="38" t="str">
        <f>IF(E76="","❌ Ej påbörjad",IF(E76&gt;D76,"🔵 Överträffad",IF(E76=D76,"🟢 Uppnådd","🟡 Pågående")))</f>
        <v>❌ Ej påbörjad</v>
      </c>
      <c r="H76" s="39" t="s">
        <v>303</v>
      </c>
      <c r="I76" s="35"/>
      <c r="J76" s="40" t="s">
        <v>498</v>
      </c>
    </row>
    <row r="77" spans="2:10" ht="36" customHeight="1" x14ac:dyDescent="0.2">
      <c r="B77" s="32">
        <v>42</v>
      </c>
      <c r="C77" s="2" t="s">
        <v>248</v>
      </c>
      <c r="D77" s="36">
        <v>4</v>
      </c>
      <c r="E77" s="37"/>
      <c r="F77" s="33"/>
      <c r="G77" s="38" t="str">
        <f>IF(E77="","❌ Ej påbörjad",IF(E77&gt;D77,"🔵 Överträffad",IF(E77=D77,"🟢 Uppnådd","🟡 Pågående")))</f>
        <v>❌ Ej påbörjad</v>
      </c>
      <c r="H77" s="39" t="s">
        <v>303</v>
      </c>
      <c r="I77" s="35"/>
      <c r="J77" s="40" t="s">
        <v>499</v>
      </c>
    </row>
    <row r="79" spans="2:10" ht="27.75" customHeight="1" x14ac:dyDescent="0.2">
      <c r="B79" s="103" t="s">
        <v>122</v>
      </c>
      <c r="C79" s="103"/>
      <c r="D79" s="41">
        <f>COUNTA(D31:D77)</f>
        <v>42</v>
      </c>
      <c r="E79" s="42"/>
      <c r="F79" s="42"/>
      <c r="G79" s="43">
        <f>COUNTIF(G31:G77,"🟢 Uppnådd") + COUNTIF(G31:G77,"🔵 Överträffad")</f>
        <v>0</v>
      </c>
      <c r="H79" s="42"/>
      <c r="I79" s="42"/>
      <c r="J79" s="42"/>
    </row>
    <row r="80" spans="2:10" ht="15" customHeight="1" x14ac:dyDescent="0.2">
      <c r="B80" s="104" t="s">
        <v>123</v>
      </c>
      <c r="C80" s="104"/>
      <c r="D80" s="44">
        <f>IF(D79=0,0,G79/D79)</f>
        <v>0</v>
      </c>
      <c r="E80" s="45"/>
      <c r="F80" s="45"/>
      <c r="G80" s="45"/>
      <c r="H80" s="45"/>
      <c r="I80" s="45"/>
      <c r="J80" s="45"/>
    </row>
  </sheetData>
  <mergeCells count="33">
    <mergeCell ref="C23:G23"/>
    <mergeCell ref="C24:G24"/>
    <mergeCell ref="C25:G25"/>
    <mergeCell ref="C26:G26"/>
    <mergeCell ref="B29:J29"/>
    <mergeCell ref="B79:C79"/>
    <mergeCell ref="B80:C80"/>
    <mergeCell ref="B31:J31"/>
    <mergeCell ref="B43:J43"/>
    <mergeCell ref="B57:J57"/>
    <mergeCell ref="B63:J63"/>
    <mergeCell ref="B73:J73"/>
    <mergeCell ref="B21:J21"/>
    <mergeCell ref="C22:G22"/>
    <mergeCell ref="B12:J12"/>
    <mergeCell ref="C13:G13"/>
    <mergeCell ref="C14:G14"/>
    <mergeCell ref="C15:G15"/>
    <mergeCell ref="C16:G16"/>
    <mergeCell ref="C17:G17"/>
    <mergeCell ref="C18:G18"/>
    <mergeCell ref="C19:G19"/>
    <mergeCell ref="B6:C6"/>
    <mergeCell ref="D6:J6"/>
    <mergeCell ref="B8:J8"/>
    <mergeCell ref="C9:G9"/>
    <mergeCell ref="C10:G10"/>
    <mergeCell ref="B2:J2"/>
    <mergeCell ref="B3:J3"/>
    <mergeCell ref="B4:C4"/>
    <mergeCell ref="D4:J4"/>
    <mergeCell ref="B5:C5"/>
    <mergeCell ref="D5:J5"/>
  </mergeCells>
  <conditionalFormatting sqref="G31:G77">
    <cfRule type="cellIs" dxfId="18" priority="11" operator="equal">
      <formula>"❌ Ej påbörjad"</formula>
    </cfRule>
    <cfRule type="cellIs" dxfId="17" priority="12" operator="equal">
      <formula>"🟡 Pågående"</formula>
    </cfRule>
    <cfRule type="cellIs" dxfId="16" priority="13" operator="equal">
      <formula>"🟢 Uppnådd"</formula>
    </cfRule>
    <cfRule type="cellIs" dxfId="15" priority="14" operator="equal">
      <formula>"🔵 Överträffad"</formula>
    </cfRule>
  </conditionalFormatting>
  <conditionalFormatting sqref="I10">
    <cfRule type="cellIs" dxfId="14" priority="2" operator="equal">
      <formula>"❌ Ej påbörjad"</formula>
    </cfRule>
    <cfRule type="cellIs" dxfId="13" priority="3" operator="equal">
      <formula>"🟡 Pågående"</formula>
    </cfRule>
    <cfRule type="cellIs" dxfId="12" priority="4" operator="equal">
      <formula>"🟢 Klar"</formula>
    </cfRule>
  </conditionalFormatting>
  <conditionalFormatting sqref="I14:I19">
    <cfRule type="cellIs" dxfId="11" priority="5" operator="equal">
      <formula>"❌ Ej påbörjad"</formula>
    </cfRule>
    <cfRule type="cellIs" dxfId="10" priority="6" operator="equal">
      <formula>"🟡 Pågående"</formula>
    </cfRule>
    <cfRule type="cellIs" dxfId="9" priority="7" operator="equal">
      <formula>"🟢 Klar"</formula>
    </cfRule>
  </conditionalFormatting>
  <conditionalFormatting sqref="I23:I26">
    <cfRule type="cellIs" dxfId="8" priority="8" operator="equal">
      <formula>"❌ Ej påbörjad"</formula>
    </cfRule>
    <cfRule type="cellIs" dxfId="7" priority="9" operator="equal">
      <formula>"🟡 Pågående"</formula>
    </cfRule>
    <cfRule type="cellIs" dxfId="6" priority="10" operator="equal">
      <formula>"🟢 Klar"</formula>
    </cfRule>
  </conditionalFormatting>
  <dataValidations count="3">
    <dataValidation type="list" allowBlank="1" sqref="I10 I23:I26 I14:I19" xr:uid="{00000000-0002-0000-0500-000000000000}">
      <formula1>"❌ Ej påbörjad,🟡 Pågående,🟢 Klar"</formula1>
      <formula2>0</formula2>
    </dataValidation>
    <dataValidation type="list" allowBlank="1" errorTitle="Ogiltig nivå" error="Ange 1-5" sqref="E31:E77" xr:uid="{00000000-0002-0000-0500-000003000000}">
      <formula1>"1,2,3,4,5"</formula1>
      <formula2>0</formula2>
    </dataValidation>
    <dataValidation type="date" allowBlank="1" promptTitle="Datum uppnått" prompt="Ctrl+; för dagens datum._x000a_Fylls i automatiskt vid självskattning &gt;= målnivå (om VBA aktivt)." sqref="F31:F77" xr:uid="{00000000-0002-0000-0500-000004000000}">
      <formula1>2000-1-1</formula1>
      <formula2>2100-12-31</formula2>
    </dataValidation>
  </dataValidations>
  <pageMargins left="0.75" right="0.75" top="1" bottom="1" header="0.511811023622047" footer="0.511811023622047"/>
  <pageSetup paperSize="9" orientation="landscape" horizontalDpi="300" verticalDpi="300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7CBBB-5664-8F4A-807B-2377599D61DD}">
  <sheetPr codeName="Blad11">
    <tabColor rgb="FF548235"/>
    <pageSetUpPr fitToPage="1"/>
  </sheetPr>
  <dimension ref="B2:H37"/>
  <sheetViews>
    <sheetView showGridLines="0" zoomScale="106" zoomScaleNormal="100" workbookViewId="0">
      <selection activeCell="D9" sqref="D9"/>
    </sheetView>
  </sheetViews>
  <sheetFormatPr baseColWidth="10" defaultColWidth="8.83203125" defaultRowHeight="15" x14ac:dyDescent="0.2"/>
  <cols>
    <col min="1" max="1" width="3" customWidth="1"/>
    <col min="2" max="2" width="8" customWidth="1"/>
    <col min="3" max="3" width="58" customWidth="1"/>
    <col min="4" max="5" width="27" customWidth="1"/>
    <col min="6" max="6" width="14" customWidth="1"/>
    <col min="7" max="7" width="12" customWidth="1"/>
    <col min="8" max="8" width="18" customWidth="1"/>
  </cols>
  <sheetData>
    <row r="2" spans="2:8" ht="36" customHeight="1" x14ac:dyDescent="0.2">
      <c r="B2" s="86" t="s">
        <v>1223</v>
      </c>
      <c r="C2" s="86"/>
      <c r="D2" s="86"/>
      <c r="E2" s="86"/>
      <c r="F2" s="86"/>
      <c r="G2" s="86"/>
      <c r="H2" s="86"/>
    </row>
    <row r="3" spans="2:8" ht="30" customHeight="1" x14ac:dyDescent="0.2">
      <c r="B3" s="82" t="s">
        <v>1224</v>
      </c>
      <c r="C3" s="82"/>
      <c r="D3" s="82"/>
      <c r="E3" s="82"/>
      <c r="F3" s="82"/>
      <c r="G3" s="82"/>
      <c r="H3" s="82"/>
    </row>
    <row r="4" spans="2:8" ht="22" customHeight="1" x14ac:dyDescent="0.2">
      <c r="B4" s="112" t="str">
        <f>"Klara: "&amp;COUNTIF($F$8:$F$37,"🟢 Klar")&amp;" av "&amp;(ROWS($B$8:$B$13)+ROWS($B$17:$B$21)+ROWS($B$25:$B$37))&amp;" delmål"</f>
        <v>Klara: 0 av 24 delmål</v>
      </c>
      <c r="C4" s="112"/>
      <c r="D4" s="112"/>
      <c r="E4" s="112"/>
      <c r="F4" s="112"/>
      <c r="G4" s="112"/>
      <c r="H4" s="112"/>
    </row>
    <row r="6" spans="2:8" ht="18" customHeight="1" x14ac:dyDescent="0.2">
      <c r="B6" s="80" t="s">
        <v>1225</v>
      </c>
      <c r="C6" s="80"/>
      <c r="D6" s="80"/>
      <c r="E6" s="80"/>
      <c r="F6" s="80"/>
      <c r="G6" s="80"/>
      <c r="H6" s="80"/>
    </row>
    <row r="7" spans="2:8" ht="20" customHeight="1" x14ac:dyDescent="0.2">
      <c r="B7" s="17" t="s">
        <v>1226</v>
      </c>
      <c r="C7" s="17" t="s">
        <v>259</v>
      </c>
      <c r="D7" s="17" t="s">
        <v>293</v>
      </c>
      <c r="E7" s="17" t="s">
        <v>1227</v>
      </c>
      <c r="F7" s="17" t="s">
        <v>41</v>
      </c>
      <c r="G7" s="17" t="s">
        <v>261</v>
      </c>
      <c r="H7" s="17" t="s">
        <v>1228</v>
      </c>
    </row>
    <row r="8" spans="2:8" ht="31" customHeight="1" x14ac:dyDescent="0.2">
      <c r="B8" s="55" t="s">
        <v>258</v>
      </c>
      <c r="C8" s="8" t="s">
        <v>262</v>
      </c>
      <c r="D8" s="8" t="s">
        <v>288</v>
      </c>
      <c r="E8" s="8" t="s">
        <v>1229</v>
      </c>
      <c r="F8" s="34" t="s">
        <v>1230</v>
      </c>
      <c r="G8" s="56"/>
      <c r="H8" s="4"/>
    </row>
    <row r="9" spans="2:8" ht="31" customHeight="1" x14ac:dyDescent="0.2">
      <c r="B9" s="55" t="s">
        <v>257</v>
      </c>
      <c r="C9" s="8" t="s">
        <v>263</v>
      </c>
      <c r="D9" s="8" t="s">
        <v>288</v>
      </c>
      <c r="E9" s="8" t="s">
        <v>1229</v>
      </c>
      <c r="F9" s="34" t="s">
        <v>1230</v>
      </c>
      <c r="G9" s="56"/>
      <c r="H9" s="4"/>
    </row>
    <row r="10" spans="2:8" ht="20" customHeight="1" x14ac:dyDescent="0.2">
      <c r="B10" s="55" t="s">
        <v>264</v>
      </c>
      <c r="C10" s="8" t="s">
        <v>265</v>
      </c>
      <c r="D10" s="8" t="s">
        <v>266</v>
      </c>
      <c r="E10" s="8" t="s">
        <v>1231</v>
      </c>
      <c r="F10" s="34" t="s">
        <v>1230</v>
      </c>
      <c r="G10" s="56"/>
      <c r="H10" s="4"/>
    </row>
    <row r="11" spans="2:8" ht="44" customHeight="1" x14ac:dyDescent="0.2">
      <c r="B11" s="55" t="s">
        <v>267</v>
      </c>
      <c r="C11" s="8" t="s">
        <v>1232</v>
      </c>
      <c r="D11" s="8" t="s">
        <v>289</v>
      </c>
      <c r="E11" s="8" t="s">
        <v>1233</v>
      </c>
      <c r="F11" s="34" t="s">
        <v>1230</v>
      </c>
      <c r="G11" s="56"/>
      <c r="H11" s="4"/>
    </row>
    <row r="12" spans="2:8" ht="44" customHeight="1" x14ac:dyDescent="0.2">
      <c r="B12" s="55" t="s">
        <v>268</v>
      </c>
      <c r="C12" s="8" t="s">
        <v>269</v>
      </c>
      <c r="D12" s="8" t="s">
        <v>290</v>
      </c>
      <c r="E12" s="8" t="s">
        <v>1234</v>
      </c>
      <c r="F12" s="34" t="s">
        <v>1230</v>
      </c>
      <c r="G12" s="56"/>
      <c r="H12" s="4"/>
    </row>
    <row r="13" spans="2:8" ht="20" customHeight="1" x14ac:dyDescent="0.2">
      <c r="B13" s="55" t="s">
        <v>270</v>
      </c>
      <c r="C13" s="8" t="s">
        <v>271</v>
      </c>
      <c r="D13" s="8" t="s">
        <v>1235</v>
      </c>
      <c r="E13" s="8" t="s">
        <v>1236</v>
      </c>
      <c r="F13" s="34" t="s">
        <v>1230</v>
      </c>
      <c r="G13" s="56"/>
      <c r="H13" s="4"/>
    </row>
    <row r="15" spans="2:8" ht="18" customHeight="1" x14ac:dyDescent="0.2">
      <c r="B15" s="80" t="s">
        <v>1237</v>
      </c>
      <c r="C15" s="80"/>
      <c r="D15" s="80"/>
      <c r="E15" s="80"/>
      <c r="F15" s="80"/>
      <c r="G15" s="80"/>
      <c r="H15" s="80"/>
    </row>
    <row r="16" spans="2:8" ht="20" customHeight="1" x14ac:dyDescent="0.2">
      <c r="B16" s="17" t="s">
        <v>1226</v>
      </c>
      <c r="C16" s="17" t="s">
        <v>259</v>
      </c>
      <c r="D16" s="17" t="s">
        <v>293</v>
      </c>
      <c r="E16" s="17" t="s">
        <v>1227</v>
      </c>
      <c r="F16" s="17" t="s">
        <v>41</v>
      </c>
      <c r="G16" s="17" t="s">
        <v>261</v>
      </c>
      <c r="H16" s="17" t="s">
        <v>1228</v>
      </c>
    </row>
    <row r="17" spans="2:8" ht="31" customHeight="1" x14ac:dyDescent="0.2">
      <c r="B17" s="55" t="s">
        <v>256</v>
      </c>
      <c r="C17" s="8" t="s">
        <v>272</v>
      </c>
      <c r="D17" s="8" t="s">
        <v>288</v>
      </c>
      <c r="E17" s="8" t="s">
        <v>1229</v>
      </c>
      <c r="F17" s="34" t="s">
        <v>1230</v>
      </c>
      <c r="G17" s="56"/>
      <c r="H17" s="4"/>
    </row>
    <row r="18" spans="2:8" ht="31" customHeight="1" x14ac:dyDescent="0.2">
      <c r="B18" s="55" t="s">
        <v>273</v>
      </c>
      <c r="C18" s="8" t="s">
        <v>274</v>
      </c>
      <c r="D18" s="8" t="s">
        <v>288</v>
      </c>
      <c r="E18" s="8" t="s">
        <v>1229</v>
      </c>
      <c r="F18" s="34" t="s">
        <v>1230</v>
      </c>
      <c r="G18" s="56"/>
      <c r="H18" s="4"/>
    </row>
    <row r="19" spans="2:8" ht="31" customHeight="1" x14ac:dyDescent="0.2">
      <c r="B19" s="55" t="s">
        <v>275</v>
      </c>
      <c r="C19" s="8" t="s">
        <v>276</v>
      </c>
      <c r="D19" s="8" t="s">
        <v>288</v>
      </c>
      <c r="E19" s="8" t="s">
        <v>1229</v>
      </c>
      <c r="F19" s="34" t="s">
        <v>1230</v>
      </c>
      <c r="G19" s="56"/>
      <c r="H19" s="4"/>
    </row>
    <row r="20" spans="2:8" ht="31" customHeight="1" x14ac:dyDescent="0.2">
      <c r="B20" s="55" t="s">
        <v>277</v>
      </c>
      <c r="C20" s="8" t="s">
        <v>278</v>
      </c>
      <c r="D20" s="8" t="s">
        <v>291</v>
      </c>
      <c r="E20" s="8" t="s">
        <v>1229</v>
      </c>
      <c r="F20" s="34" t="s">
        <v>1230</v>
      </c>
      <c r="G20" s="56"/>
      <c r="H20" s="4"/>
    </row>
    <row r="21" spans="2:8" ht="31" customHeight="1" x14ac:dyDescent="0.2">
      <c r="B21" s="55" t="s">
        <v>279</v>
      </c>
      <c r="C21" s="8" t="s">
        <v>280</v>
      </c>
      <c r="D21" s="8" t="s">
        <v>292</v>
      </c>
      <c r="E21" s="8" t="s">
        <v>1229</v>
      </c>
      <c r="F21" s="34" t="s">
        <v>1230</v>
      </c>
      <c r="G21" s="56"/>
      <c r="H21" s="4"/>
    </row>
    <row r="23" spans="2:8" ht="18" customHeight="1" x14ac:dyDescent="0.2">
      <c r="B23" s="80" t="s">
        <v>1238</v>
      </c>
      <c r="C23" s="80"/>
      <c r="D23" s="80"/>
      <c r="E23" s="80"/>
      <c r="F23" s="80"/>
      <c r="G23" s="80"/>
      <c r="H23" s="80"/>
    </row>
    <row r="24" spans="2:8" ht="20" customHeight="1" x14ac:dyDescent="0.2">
      <c r="B24" s="17" t="s">
        <v>1226</v>
      </c>
      <c r="C24" s="17" t="s">
        <v>259</v>
      </c>
      <c r="D24" s="17" t="s">
        <v>293</v>
      </c>
      <c r="E24" s="17" t="s">
        <v>1227</v>
      </c>
      <c r="F24" s="17" t="s">
        <v>41</v>
      </c>
      <c r="G24" s="17" t="s">
        <v>261</v>
      </c>
      <c r="H24" s="17" t="s">
        <v>1228</v>
      </c>
    </row>
    <row r="25" spans="2:8" ht="44" customHeight="1" x14ac:dyDescent="0.2">
      <c r="B25" s="55" t="s">
        <v>281</v>
      </c>
      <c r="C25" s="8" t="s">
        <v>314</v>
      </c>
      <c r="D25" s="8" t="s">
        <v>294</v>
      </c>
      <c r="E25" s="8" t="s">
        <v>1229</v>
      </c>
      <c r="F25" s="34" t="s">
        <v>1230</v>
      </c>
      <c r="G25" s="56"/>
      <c r="H25" s="4"/>
    </row>
    <row r="26" spans="2:8" ht="31" customHeight="1" x14ac:dyDescent="0.2">
      <c r="B26" s="55" t="s">
        <v>252</v>
      </c>
      <c r="C26" s="8" t="s">
        <v>315</v>
      </c>
      <c r="D26" s="8" t="s">
        <v>294</v>
      </c>
      <c r="E26" s="8" t="s">
        <v>1229</v>
      </c>
      <c r="F26" s="34" t="s">
        <v>1230</v>
      </c>
      <c r="G26" s="56"/>
      <c r="H26" s="4"/>
    </row>
    <row r="27" spans="2:8" ht="31" customHeight="1" x14ac:dyDescent="0.2">
      <c r="B27" s="55" t="s">
        <v>78</v>
      </c>
      <c r="C27" s="8" t="s">
        <v>316</v>
      </c>
      <c r="D27" s="8" t="s">
        <v>294</v>
      </c>
      <c r="E27" s="8" t="s">
        <v>1229</v>
      </c>
      <c r="F27" s="34" t="s">
        <v>1230</v>
      </c>
      <c r="G27" s="56"/>
      <c r="H27" s="4"/>
    </row>
    <row r="28" spans="2:8" ht="44" customHeight="1" x14ac:dyDescent="0.2">
      <c r="B28" s="55" t="s">
        <v>282</v>
      </c>
      <c r="C28" s="8" t="s">
        <v>317</v>
      </c>
      <c r="D28" s="8" t="s">
        <v>294</v>
      </c>
      <c r="E28" s="8" t="s">
        <v>1229</v>
      </c>
      <c r="F28" s="34" t="s">
        <v>1230</v>
      </c>
      <c r="G28" s="56"/>
      <c r="H28" s="4"/>
    </row>
    <row r="29" spans="2:8" ht="31" customHeight="1" x14ac:dyDescent="0.2">
      <c r="B29" s="55" t="s">
        <v>283</v>
      </c>
      <c r="C29" s="8" t="s">
        <v>318</v>
      </c>
      <c r="D29" s="8" t="s">
        <v>294</v>
      </c>
      <c r="E29" s="8" t="s">
        <v>1229</v>
      </c>
      <c r="F29" s="34" t="s">
        <v>1230</v>
      </c>
      <c r="G29" s="56"/>
      <c r="H29" s="4"/>
    </row>
    <row r="30" spans="2:8" ht="31" customHeight="1" x14ac:dyDescent="0.2">
      <c r="B30" s="55" t="s">
        <v>112</v>
      </c>
      <c r="C30" s="8" t="s">
        <v>1239</v>
      </c>
      <c r="D30" s="8" t="s">
        <v>294</v>
      </c>
      <c r="E30" s="8" t="s">
        <v>1229</v>
      </c>
      <c r="F30" s="34" t="s">
        <v>1230</v>
      </c>
      <c r="G30" s="56"/>
      <c r="H30" s="4"/>
    </row>
    <row r="31" spans="2:8" ht="31" customHeight="1" x14ac:dyDescent="0.2">
      <c r="B31" s="55" t="s">
        <v>72</v>
      </c>
      <c r="C31" s="8" t="s">
        <v>1240</v>
      </c>
      <c r="D31" s="8" t="s">
        <v>294</v>
      </c>
      <c r="E31" s="8" t="s">
        <v>1229</v>
      </c>
      <c r="F31" s="34" t="s">
        <v>1230</v>
      </c>
      <c r="G31" s="56"/>
      <c r="H31" s="4"/>
    </row>
    <row r="32" spans="2:8" ht="31" customHeight="1" x14ac:dyDescent="0.2">
      <c r="B32" s="55" t="s">
        <v>161</v>
      </c>
      <c r="C32" s="8" t="s">
        <v>1241</v>
      </c>
      <c r="D32" s="8" t="s">
        <v>266</v>
      </c>
      <c r="E32" s="8" t="s">
        <v>1231</v>
      </c>
      <c r="F32" s="34" t="s">
        <v>1230</v>
      </c>
      <c r="G32" s="56"/>
      <c r="H32" s="4"/>
    </row>
    <row r="33" spans="2:8" ht="20" customHeight="1" x14ac:dyDescent="0.2">
      <c r="B33" s="55" t="s">
        <v>205</v>
      </c>
      <c r="C33" s="8" t="s">
        <v>1242</v>
      </c>
      <c r="D33" s="8" t="s">
        <v>266</v>
      </c>
      <c r="E33" s="8" t="s">
        <v>1231</v>
      </c>
      <c r="F33" s="34" t="s">
        <v>1230</v>
      </c>
      <c r="G33" s="56"/>
      <c r="H33" s="4"/>
    </row>
    <row r="34" spans="2:8" ht="31" customHeight="1" x14ac:dyDescent="0.2">
      <c r="B34" s="55" t="s">
        <v>83</v>
      </c>
      <c r="C34" s="8" t="s">
        <v>1243</v>
      </c>
      <c r="D34" s="8" t="s">
        <v>266</v>
      </c>
      <c r="E34" s="8" t="s">
        <v>1231</v>
      </c>
      <c r="F34" s="34" t="s">
        <v>1230</v>
      </c>
      <c r="G34" s="56"/>
      <c r="H34" s="4"/>
    </row>
    <row r="35" spans="2:8" ht="20" customHeight="1" x14ac:dyDescent="0.2">
      <c r="B35" s="55" t="s">
        <v>81</v>
      </c>
      <c r="C35" s="8" t="s">
        <v>1244</v>
      </c>
      <c r="D35" s="8" t="s">
        <v>266</v>
      </c>
      <c r="E35" s="8" t="s">
        <v>266</v>
      </c>
      <c r="F35" s="34" t="s">
        <v>1230</v>
      </c>
      <c r="G35" s="56"/>
      <c r="H35" s="4"/>
    </row>
    <row r="36" spans="2:8" ht="20" customHeight="1" x14ac:dyDescent="0.2">
      <c r="B36" s="55" t="s">
        <v>115</v>
      </c>
      <c r="C36" s="8" t="s">
        <v>1245</v>
      </c>
      <c r="D36" s="8" t="s">
        <v>295</v>
      </c>
      <c r="E36" s="8" t="s">
        <v>1236</v>
      </c>
      <c r="F36" s="34" t="s">
        <v>1230</v>
      </c>
      <c r="G36" s="56"/>
      <c r="H36" s="4"/>
    </row>
    <row r="37" spans="2:8" ht="31" customHeight="1" x14ac:dyDescent="0.2">
      <c r="B37" s="55" t="s">
        <v>284</v>
      </c>
      <c r="C37" s="8" t="s">
        <v>285</v>
      </c>
      <c r="D37" s="8" t="s">
        <v>294</v>
      </c>
      <c r="E37" s="8" t="s">
        <v>1229</v>
      </c>
      <c r="F37" s="34" t="s">
        <v>1230</v>
      </c>
      <c r="G37" s="56"/>
      <c r="H37" s="4"/>
    </row>
  </sheetData>
  <mergeCells count="6">
    <mergeCell ref="B2:H2"/>
    <mergeCell ref="B3:H3"/>
    <mergeCell ref="B6:H6"/>
    <mergeCell ref="B15:H15"/>
    <mergeCell ref="B23:H23"/>
    <mergeCell ref="B4:H4"/>
  </mergeCells>
  <conditionalFormatting sqref="F8:F13 F17:F21 F25:F37">
    <cfRule type="cellIs" dxfId="5" priority="1" operator="equal">
      <formula>"🟢 Klar"</formula>
    </cfRule>
    <cfRule type="cellIs" dxfId="4" priority="2" operator="equal">
      <formula>"❌ Ej klar"</formula>
    </cfRule>
  </conditionalFormatting>
  <conditionalFormatting sqref="B8:H13 B17:H21 B25:H37">
    <cfRule type="expression" dxfId="3" priority="3">
      <formula>$F8="🟢 Klar"</formula>
    </cfRule>
  </conditionalFormatting>
  <dataValidations count="2">
    <dataValidation type="list" allowBlank="1" showInputMessage="1" showErrorMessage="1" promptTitle="Status" prompt="Klicka på pilen och välj Klar eller Ej klar." sqref="F8:F13 F17:F21 F25:F37" xr:uid="{00000000-0002-0000-0700-000000000000}">
      <formula1>"🟢 Klar,❌ Ej klar"</formula1>
    </dataValidation>
    <dataValidation type="date" allowBlank="1" showInputMessage="1" showErrorMessage="1" errorTitle="Ogiltigt datum" error="Skriv ett datum, t.ex. 2026-03-01." promptTitle="Datum" prompt="Skriv datum som 2026-03-01. Ctrl+; ger dagens datum." sqref="G8:G13 G17:G21 G25:G37" xr:uid="{00000000-0002-0000-0700-000001000000}">
      <formula1>36526</formula1>
      <formula2>73050</formula2>
    </dataValidation>
  </dataValidations>
  <pageMargins left="0.5" right="0.5" top="0.6" bottom="0.6" header="0.3" footer="0.3"/>
  <pageSetup paperSize="9" fitToHeight="0" orientation="landscape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80B57-D4F9-3540-8100-A4E49BA1321D}">
  <sheetPr codeName="Blad8">
    <tabColor rgb="FF548235"/>
    <pageSetUpPr fitToPage="1"/>
  </sheetPr>
  <dimension ref="B2:H37"/>
  <sheetViews>
    <sheetView showGridLines="0" zoomScaleNormal="100" workbookViewId="0">
      <selection activeCell="D9" sqref="D9"/>
    </sheetView>
  </sheetViews>
  <sheetFormatPr baseColWidth="10" defaultColWidth="8.83203125" defaultRowHeight="15" x14ac:dyDescent="0.2"/>
  <cols>
    <col min="1" max="1" width="3" customWidth="1"/>
    <col min="2" max="2" width="8" customWidth="1"/>
    <col min="3" max="3" width="58" customWidth="1"/>
    <col min="4" max="5" width="27" customWidth="1"/>
    <col min="6" max="6" width="14" customWidth="1"/>
    <col min="7" max="7" width="12" customWidth="1"/>
    <col min="8" max="8" width="18" customWidth="1"/>
  </cols>
  <sheetData>
    <row r="2" spans="2:8" ht="36" customHeight="1" x14ac:dyDescent="0.2">
      <c r="B2" s="86" t="s">
        <v>1246</v>
      </c>
      <c r="C2" s="86"/>
      <c r="D2" s="86"/>
      <c r="E2" s="86"/>
      <c r="F2" s="86"/>
      <c r="G2" s="86"/>
      <c r="H2" s="86"/>
    </row>
    <row r="3" spans="2:8" ht="30" customHeight="1" x14ac:dyDescent="0.2">
      <c r="B3" s="82" t="s">
        <v>1247</v>
      </c>
      <c r="C3" s="82"/>
      <c r="D3" s="82"/>
      <c r="E3" s="82"/>
      <c r="F3" s="82"/>
      <c r="G3" s="82"/>
      <c r="H3" s="82"/>
    </row>
    <row r="4" spans="2:8" ht="22" customHeight="1" x14ac:dyDescent="0.2">
      <c r="B4" s="112" t="str">
        <f>"Klara: "&amp;COUNTIF($F$8:$F$37,"🟢 Klar")&amp;" av "&amp;(ROWS($B$8:$B$13)+ROWS($B$17:$B$21)+ROWS($B$25:$B$37))&amp;" delmål"</f>
        <v>Klara: 0 av 24 delmål</v>
      </c>
      <c r="C4" s="112"/>
      <c r="D4" s="112"/>
      <c r="E4" s="112"/>
      <c r="F4" s="112"/>
      <c r="G4" s="112"/>
      <c r="H4" s="112"/>
    </row>
    <row r="6" spans="2:8" ht="18" customHeight="1" x14ac:dyDescent="0.2">
      <c r="B6" s="80" t="s">
        <v>1248</v>
      </c>
      <c r="C6" s="80"/>
      <c r="D6" s="80"/>
      <c r="E6" s="80"/>
      <c r="F6" s="80"/>
      <c r="G6" s="80"/>
      <c r="H6" s="80"/>
    </row>
    <row r="7" spans="2:8" ht="20" customHeight="1" x14ac:dyDescent="0.2">
      <c r="B7" s="17" t="s">
        <v>1226</v>
      </c>
      <c r="C7" s="17" t="s">
        <v>259</v>
      </c>
      <c r="D7" s="17" t="s">
        <v>293</v>
      </c>
      <c r="E7" s="17" t="s">
        <v>1227</v>
      </c>
      <c r="F7" s="17" t="s">
        <v>41</v>
      </c>
      <c r="G7" s="17" t="s">
        <v>261</v>
      </c>
      <c r="H7" s="17" t="s">
        <v>1228</v>
      </c>
    </row>
    <row r="8" spans="2:8" ht="31" customHeight="1" x14ac:dyDescent="0.2">
      <c r="B8" s="55" t="s">
        <v>258</v>
      </c>
      <c r="C8" s="8" t="s">
        <v>262</v>
      </c>
      <c r="D8" s="8" t="s">
        <v>288</v>
      </c>
      <c r="E8" s="8" t="s">
        <v>1229</v>
      </c>
      <c r="F8" s="66" t="str">
        <f>IF('Delmål internmedicin'!F8="","",'Delmål internmedicin'!F8)</f>
        <v>❌ Ej klar</v>
      </c>
      <c r="G8" s="67" t="str">
        <f>IF('Delmål internmedicin'!G8="","",'Delmål internmedicin'!G8)</f>
        <v/>
      </c>
      <c r="H8" s="68" t="str">
        <f>IF('Delmål internmedicin'!H8="","",'Delmål internmedicin'!H8)</f>
        <v/>
      </c>
    </row>
    <row r="9" spans="2:8" ht="31" customHeight="1" x14ac:dyDescent="0.2">
      <c r="B9" s="55" t="s">
        <v>257</v>
      </c>
      <c r="C9" s="8" t="s">
        <v>263</v>
      </c>
      <c r="D9" s="8" t="s">
        <v>288</v>
      </c>
      <c r="E9" s="8" t="s">
        <v>1229</v>
      </c>
      <c r="F9" s="66" t="str">
        <f>IF('Delmål internmedicin'!F9="","",'Delmål internmedicin'!F9)</f>
        <v>❌ Ej klar</v>
      </c>
      <c r="G9" s="67" t="str">
        <f>IF('Delmål internmedicin'!G9="","",'Delmål internmedicin'!G9)</f>
        <v/>
      </c>
      <c r="H9" s="68" t="str">
        <f>IF('Delmål internmedicin'!H9="","",'Delmål internmedicin'!H9)</f>
        <v/>
      </c>
    </row>
    <row r="10" spans="2:8" ht="20" customHeight="1" x14ac:dyDescent="0.2">
      <c r="B10" s="55" t="s">
        <v>264</v>
      </c>
      <c r="C10" s="8" t="s">
        <v>265</v>
      </c>
      <c r="D10" s="8" t="s">
        <v>266</v>
      </c>
      <c r="E10" s="8" t="s">
        <v>1231</v>
      </c>
      <c r="F10" s="66" t="str">
        <f>IF('Delmål internmedicin'!F10="","",'Delmål internmedicin'!F10)</f>
        <v>❌ Ej klar</v>
      </c>
      <c r="G10" s="67" t="str">
        <f>IF('Delmål internmedicin'!G10="","",'Delmål internmedicin'!G10)</f>
        <v/>
      </c>
      <c r="H10" s="68" t="str">
        <f>IF('Delmål internmedicin'!H10="","",'Delmål internmedicin'!H10)</f>
        <v/>
      </c>
    </row>
    <row r="11" spans="2:8" ht="44" customHeight="1" x14ac:dyDescent="0.2">
      <c r="B11" s="55" t="s">
        <v>267</v>
      </c>
      <c r="C11" s="8" t="s">
        <v>1232</v>
      </c>
      <c r="D11" s="8" t="s">
        <v>289</v>
      </c>
      <c r="E11" s="8" t="s">
        <v>1233</v>
      </c>
      <c r="F11" s="66" t="str">
        <f>IF('Delmål internmedicin'!F11="","",'Delmål internmedicin'!F11)</f>
        <v>❌ Ej klar</v>
      </c>
      <c r="G11" s="67" t="str">
        <f>IF('Delmål internmedicin'!G11="","",'Delmål internmedicin'!G11)</f>
        <v/>
      </c>
      <c r="H11" s="68" t="str">
        <f>IF('Delmål internmedicin'!H11="","",'Delmål internmedicin'!H11)</f>
        <v/>
      </c>
    </row>
    <row r="12" spans="2:8" ht="44" customHeight="1" x14ac:dyDescent="0.2">
      <c r="B12" s="55" t="s">
        <v>268</v>
      </c>
      <c r="C12" s="8" t="s">
        <v>269</v>
      </c>
      <c r="D12" s="8" t="s">
        <v>290</v>
      </c>
      <c r="E12" s="8" t="s">
        <v>1234</v>
      </c>
      <c r="F12" s="66" t="str">
        <f>IF('Delmål internmedicin'!F12="","",'Delmål internmedicin'!F12)</f>
        <v>❌ Ej klar</v>
      </c>
      <c r="G12" s="67" t="str">
        <f>IF('Delmål internmedicin'!G12="","",'Delmål internmedicin'!G12)</f>
        <v/>
      </c>
      <c r="H12" s="68" t="str">
        <f>IF('Delmål internmedicin'!H12="","",'Delmål internmedicin'!H12)</f>
        <v/>
      </c>
    </row>
    <row r="13" spans="2:8" ht="20" customHeight="1" x14ac:dyDescent="0.2">
      <c r="B13" s="55" t="s">
        <v>270</v>
      </c>
      <c r="C13" s="8" t="s">
        <v>271</v>
      </c>
      <c r="D13" s="8" t="s">
        <v>1235</v>
      </c>
      <c r="E13" s="8" t="s">
        <v>1236</v>
      </c>
      <c r="F13" s="66" t="str">
        <f>IF('Delmål internmedicin'!F13="","",'Delmål internmedicin'!F13)</f>
        <v>❌ Ej klar</v>
      </c>
      <c r="G13" s="67" t="str">
        <f>IF('Delmål internmedicin'!G13="","",'Delmål internmedicin'!G13)</f>
        <v/>
      </c>
      <c r="H13" s="68" t="str">
        <f>IF('Delmål internmedicin'!H13="","",'Delmål internmedicin'!H13)</f>
        <v/>
      </c>
    </row>
    <row r="15" spans="2:8" ht="18" customHeight="1" x14ac:dyDescent="0.2">
      <c r="B15" s="80" t="s">
        <v>1249</v>
      </c>
      <c r="C15" s="80"/>
      <c r="D15" s="80"/>
      <c r="E15" s="80"/>
      <c r="F15" s="80"/>
      <c r="G15" s="80"/>
      <c r="H15" s="80"/>
    </row>
    <row r="16" spans="2:8" ht="20" customHeight="1" x14ac:dyDescent="0.2">
      <c r="B16" s="17" t="s">
        <v>1226</v>
      </c>
      <c r="C16" s="17" t="s">
        <v>259</v>
      </c>
      <c r="D16" s="17" t="s">
        <v>293</v>
      </c>
      <c r="E16" s="17" t="s">
        <v>1227</v>
      </c>
      <c r="F16" s="17" t="s">
        <v>41</v>
      </c>
      <c r="G16" s="17" t="s">
        <v>261</v>
      </c>
      <c r="H16" s="17" t="s">
        <v>1228</v>
      </c>
    </row>
    <row r="17" spans="2:8" ht="31" customHeight="1" x14ac:dyDescent="0.2">
      <c r="B17" s="55" t="s">
        <v>256</v>
      </c>
      <c r="C17" s="8" t="s">
        <v>272</v>
      </c>
      <c r="D17" s="8" t="s">
        <v>288</v>
      </c>
      <c r="E17" s="8" t="s">
        <v>1229</v>
      </c>
      <c r="F17" s="66" t="str">
        <f>IF('Delmål internmedicin'!F17="","",'Delmål internmedicin'!F17)</f>
        <v>❌ Ej klar</v>
      </c>
      <c r="G17" s="67" t="str">
        <f>IF('Delmål internmedicin'!G17="","",'Delmål internmedicin'!G17)</f>
        <v/>
      </c>
      <c r="H17" s="68" t="str">
        <f>IF('Delmål internmedicin'!H17="","",'Delmål internmedicin'!H17)</f>
        <v/>
      </c>
    </row>
    <row r="18" spans="2:8" ht="31" customHeight="1" x14ac:dyDescent="0.2">
      <c r="B18" s="55" t="s">
        <v>273</v>
      </c>
      <c r="C18" s="8" t="s">
        <v>274</v>
      </c>
      <c r="D18" s="8" t="s">
        <v>288</v>
      </c>
      <c r="E18" s="8" t="s">
        <v>1229</v>
      </c>
      <c r="F18" s="66" t="str">
        <f>IF('Delmål internmedicin'!F18="","",'Delmål internmedicin'!F18)</f>
        <v>❌ Ej klar</v>
      </c>
      <c r="G18" s="67" t="str">
        <f>IF('Delmål internmedicin'!G18="","",'Delmål internmedicin'!G18)</f>
        <v/>
      </c>
      <c r="H18" s="68" t="str">
        <f>IF('Delmål internmedicin'!H18="","",'Delmål internmedicin'!H18)</f>
        <v/>
      </c>
    </row>
    <row r="19" spans="2:8" ht="31" customHeight="1" x14ac:dyDescent="0.2">
      <c r="B19" s="55" t="s">
        <v>275</v>
      </c>
      <c r="C19" s="8" t="s">
        <v>276</v>
      </c>
      <c r="D19" s="8" t="s">
        <v>288</v>
      </c>
      <c r="E19" s="8" t="s">
        <v>1229</v>
      </c>
      <c r="F19" s="66" t="str">
        <f>IF('Delmål internmedicin'!F19="","",'Delmål internmedicin'!F19)</f>
        <v>❌ Ej klar</v>
      </c>
      <c r="G19" s="67" t="str">
        <f>IF('Delmål internmedicin'!G19="","",'Delmål internmedicin'!G19)</f>
        <v/>
      </c>
      <c r="H19" s="68" t="str">
        <f>IF('Delmål internmedicin'!H19="","",'Delmål internmedicin'!H19)</f>
        <v/>
      </c>
    </row>
    <row r="20" spans="2:8" ht="31" customHeight="1" x14ac:dyDescent="0.2">
      <c r="B20" s="55" t="s">
        <v>277</v>
      </c>
      <c r="C20" s="8" t="s">
        <v>278</v>
      </c>
      <c r="D20" s="8" t="s">
        <v>291</v>
      </c>
      <c r="E20" s="8" t="s">
        <v>1229</v>
      </c>
      <c r="F20" s="66" t="str">
        <f>IF('Delmål internmedicin'!F20="","",'Delmål internmedicin'!F20)</f>
        <v>❌ Ej klar</v>
      </c>
      <c r="G20" s="67" t="str">
        <f>IF('Delmål internmedicin'!G20="","",'Delmål internmedicin'!G20)</f>
        <v/>
      </c>
      <c r="H20" s="68" t="str">
        <f>IF('Delmål internmedicin'!H20="","",'Delmål internmedicin'!H20)</f>
        <v/>
      </c>
    </row>
    <row r="21" spans="2:8" ht="31" customHeight="1" x14ac:dyDescent="0.2">
      <c r="B21" s="55" t="s">
        <v>279</v>
      </c>
      <c r="C21" s="8" t="s">
        <v>280</v>
      </c>
      <c r="D21" s="8" t="s">
        <v>292</v>
      </c>
      <c r="E21" s="8" t="s">
        <v>1229</v>
      </c>
      <c r="F21" s="66" t="str">
        <f>IF('Delmål internmedicin'!F21="","",'Delmål internmedicin'!F21)</f>
        <v>❌ Ej klar</v>
      </c>
      <c r="G21" s="67" t="str">
        <f>IF('Delmål internmedicin'!G21="","",'Delmål internmedicin'!G21)</f>
        <v/>
      </c>
      <c r="H21" s="68" t="str">
        <f>IF('Delmål internmedicin'!H21="","",'Delmål internmedicin'!H21)</f>
        <v/>
      </c>
    </row>
    <row r="23" spans="2:8" ht="18" customHeight="1" x14ac:dyDescent="0.2">
      <c r="B23" s="80" t="s">
        <v>1250</v>
      </c>
      <c r="C23" s="80"/>
      <c r="D23" s="80"/>
      <c r="E23" s="80"/>
      <c r="F23" s="80"/>
      <c r="G23" s="80"/>
      <c r="H23" s="80"/>
    </row>
    <row r="24" spans="2:8" ht="20" customHeight="1" x14ac:dyDescent="0.2">
      <c r="B24" s="17" t="s">
        <v>1226</v>
      </c>
      <c r="C24" s="17" t="s">
        <v>259</v>
      </c>
      <c r="D24" s="17" t="s">
        <v>293</v>
      </c>
      <c r="E24" s="17" t="s">
        <v>1227</v>
      </c>
      <c r="F24" s="17" t="s">
        <v>41</v>
      </c>
      <c r="G24" s="17" t="s">
        <v>261</v>
      </c>
      <c r="H24" s="17" t="s">
        <v>1228</v>
      </c>
    </row>
    <row r="25" spans="2:8" ht="44" customHeight="1" x14ac:dyDescent="0.2">
      <c r="B25" s="55" t="s">
        <v>281</v>
      </c>
      <c r="C25" s="8" t="s">
        <v>314</v>
      </c>
      <c r="D25" s="8" t="s">
        <v>294</v>
      </c>
      <c r="E25" s="8" t="s">
        <v>1229</v>
      </c>
      <c r="F25" s="66" t="str">
        <f>IF('Delmål internmedicin'!F25="","",'Delmål internmedicin'!F25)</f>
        <v>❌ Ej klar</v>
      </c>
      <c r="G25" s="67" t="str">
        <f>IF('Delmål internmedicin'!G25="","",'Delmål internmedicin'!G25)</f>
        <v/>
      </c>
      <c r="H25" s="68" t="str">
        <f>IF('Delmål internmedicin'!H25="","",'Delmål internmedicin'!H25)</f>
        <v/>
      </c>
    </row>
    <row r="26" spans="2:8" ht="31" customHeight="1" x14ac:dyDescent="0.2">
      <c r="B26" s="55" t="s">
        <v>252</v>
      </c>
      <c r="C26" s="8" t="s">
        <v>315</v>
      </c>
      <c r="D26" s="8" t="s">
        <v>294</v>
      </c>
      <c r="E26" s="8" t="s">
        <v>1229</v>
      </c>
      <c r="F26" s="66" t="str">
        <f>IF('Delmål internmedicin'!F26="","",'Delmål internmedicin'!F26)</f>
        <v>❌ Ej klar</v>
      </c>
      <c r="G26" s="67" t="str">
        <f>IF('Delmål internmedicin'!G26="","",'Delmål internmedicin'!G26)</f>
        <v/>
      </c>
      <c r="H26" s="68" t="str">
        <f>IF('Delmål internmedicin'!H26="","",'Delmål internmedicin'!H26)</f>
        <v/>
      </c>
    </row>
    <row r="27" spans="2:8" ht="31" customHeight="1" x14ac:dyDescent="0.2">
      <c r="B27" s="55" t="s">
        <v>78</v>
      </c>
      <c r="C27" s="8" t="s">
        <v>316</v>
      </c>
      <c r="D27" s="8" t="s">
        <v>294</v>
      </c>
      <c r="E27" s="8" t="s">
        <v>1229</v>
      </c>
      <c r="F27" s="66" t="str">
        <f>IF('Delmål internmedicin'!F27="","",'Delmål internmedicin'!F27)</f>
        <v>❌ Ej klar</v>
      </c>
      <c r="G27" s="67" t="str">
        <f>IF('Delmål internmedicin'!G27="","",'Delmål internmedicin'!G27)</f>
        <v/>
      </c>
      <c r="H27" s="68" t="str">
        <f>IF('Delmål internmedicin'!H27="","",'Delmål internmedicin'!H27)</f>
        <v/>
      </c>
    </row>
    <row r="28" spans="2:8" ht="44" customHeight="1" x14ac:dyDescent="0.2">
      <c r="B28" s="55" t="s">
        <v>282</v>
      </c>
      <c r="C28" s="8" t="s">
        <v>317</v>
      </c>
      <c r="D28" s="8" t="s">
        <v>294</v>
      </c>
      <c r="E28" s="8" t="s">
        <v>1229</v>
      </c>
      <c r="F28" s="66" t="str">
        <f>IF('Delmål internmedicin'!F28="","",'Delmål internmedicin'!F28)</f>
        <v>❌ Ej klar</v>
      </c>
      <c r="G28" s="67" t="str">
        <f>IF('Delmål internmedicin'!G28="","",'Delmål internmedicin'!G28)</f>
        <v/>
      </c>
      <c r="H28" s="68" t="str">
        <f>IF('Delmål internmedicin'!H28="","",'Delmål internmedicin'!H28)</f>
        <v/>
      </c>
    </row>
    <row r="29" spans="2:8" ht="31" customHeight="1" x14ac:dyDescent="0.2">
      <c r="B29" s="55" t="s">
        <v>283</v>
      </c>
      <c r="C29" s="8" t="s">
        <v>318</v>
      </c>
      <c r="D29" s="8" t="s">
        <v>294</v>
      </c>
      <c r="E29" s="8" t="s">
        <v>1229</v>
      </c>
      <c r="F29" s="66" t="str">
        <f>IF('Delmål internmedicin'!F29="","",'Delmål internmedicin'!F29)</f>
        <v>❌ Ej klar</v>
      </c>
      <c r="G29" s="67" t="str">
        <f>IF('Delmål internmedicin'!G29="","",'Delmål internmedicin'!G29)</f>
        <v/>
      </c>
      <c r="H29" s="68" t="str">
        <f>IF('Delmål internmedicin'!H29="","",'Delmål internmedicin'!H29)</f>
        <v/>
      </c>
    </row>
    <row r="30" spans="2:8" ht="31" customHeight="1" x14ac:dyDescent="0.2">
      <c r="B30" s="55" t="s">
        <v>112</v>
      </c>
      <c r="C30" s="8" t="s">
        <v>319</v>
      </c>
      <c r="D30" s="8" t="s">
        <v>294</v>
      </c>
      <c r="E30" s="8" t="s">
        <v>1229</v>
      </c>
      <c r="F30" s="34" t="s">
        <v>1230</v>
      </c>
      <c r="G30" s="56"/>
      <c r="H30" s="4"/>
    </row>
    <row r="31" spans="2:8" ht="31" customHeight="1" x14ac:dyDescent="0.2">
      <c r="B31" s="55" t="s">
        <v>72</v>
      </c>
      <c r="C31" s="8" t="s">
        <v>320</v>
      </c>
      <c r="D31" s="8" t="s">
        <v>294</v>
      </c>
      <c r="E31" s="8" t="s">
        <v>1229</v>
      </c>
      <c r="F31" s="34" t="s">
        <v>1230</v>
      </c>
      <c r="G31" s="56"/>
      <c r="H31" s="4"/>
    </row>
    <row r="32" spans="2:8" ht="31" customHeight="1" x14ac:dyDescent="0.2">
      <c r="B32" s="55" t="s">
        <v>161</v>
      </c>
      <c r="C32" s="8" t="s">
        <v>321</v>
      </c>
      <c r="D32" s="8" t="s">
        <v>266</v>
      </c>
      <c r="E32" s="8" t="s">
        <v>1231</v>
      </c>
      <c r="F32" s="34" t="s">
        <v>1230</v>
      </c>
      <c r="G32" s="56"/>
      <c r="H32" s="4"/>
    </row>
    <row r="33" spans="2:8" ht="31" customHeight="1" x14ac:dyDescent="0.2">
      <c r="B33" s="55" t="s">
        <v>205</v>
      </c>
      <c r="C33" s="8" t="s">
        <v>322</v>
      </c>
      <c r="D33" s="8" t="s">
        <v>294</v>
      </c>
      <c r="E33" s="8" t="s">
        <v>1229</v>
      </c>
      <c r="F33" s="34" t="s">
        <v>1230</v>
      </c>
      <c r="G33" s="56"/>
      <c r="H33" s="4"/>
    </row>
    <row r="34" spans="2:8" ht="31" customHeight="1" x14ac:dyDescent="0.2">
      <c r="B34" s="55" t="s">
        <v>83</v>
      </c>
      <c r="C34" s="8" t="s">
        <v>323</v>
      </c>
      <c r="D34" s="8" t="s">
        <v>294</v>
      </c>
      <c r="E34" s="8" t="s">
        <v>1229</v>
      </c>
      <c r="F34" s="34" t="s">
        <v>1230</v>
      </c>
      <c r="G34" s="56"/>
      <c r="H34" s="4"/>
    </row>
    <row r="35" spans="2:8" ht="31" customHeight="1" x14ac:dyDescent="0.2">
      <c r="B35" s="55" t="s">
        <v>81</v>
      </c>
      <c r="C35" s="8" t="s">
        <v>324</v>
      </c>
      <c r="D35" s="8" t="s">
        <v>294</v>
      </c>
      <c r="E35" s="8" t="s">
        <v>1229</v>
      </c>
      <c r="F35" s="34" t="s">
        <v>1230</v>
      </c>
      <c r="G35" s="56"/>
      <c r="H35" s="4"/>
    </row>
    <row r="36" spans="2:8" ht="31" customHeight="1" x14ac:dyDescent="0.2">
      <c r="B36" s="55" t="s">
        <v>115</v>
      </c>
      <c r="C36" s="8" t="s">
        <v>325</v>
      </c>
      <c r="D36" s="8" t="s">
        <v>295</v>
      </c>
      <c r="E36" s="8" t="s">
        <v>1229</v>
      </c>
      <c r="F36" s="34" t="s">
        <v>1230</v>
      </c>
      <c r="G36" s="56"/>
      <c r="H36" s="4"/>
    </row>
    <row r="37" spans="2:8" ht="31" customHeight="1" x14ac:dyDescent="0.2">
      <c r="B37" s="55" t="s">
        <v>284</v>
      </c>
      <c r="C37" s="8" t="s">
        <v>285</v>
      </c>
      <c r="D37" s="8" t="s">
        <v>288</v>
      </c>
      <c r="E37" s="8" t="s">
        <v>1229</v>
      </c>
      <c r="F37" s="34" t="s">
        <v>1230</v>
      </c>
      <c r="G37" s="56"/>
      <c r="H37" s="4"/>
    </row>
  </sheetData>
  <mergeCells count="6">
    <mergeCell ref="B2:H2"/>
    <mergeCell ref="B3:H3"/>
    <mergeCell ref="B6:H6"/>
    <mergeCell ref="B15:H15"/>
    <mergeCell ref="B23:H23"/>
    <mergeCell ref="B4:H4"/>
  </mergeCells>
  <conditionalFormatting sqref="F8:F13 F17:F21 F25:F37">
    <cfRule type="cellIs" dxfId="2" priority="1" operator="equal">
      <formula>"🟢 Klar"</formula>
    </cfRule>
    <cfRule type="cellIs" dxfId="1" priority="2" operator="equal">
      <formula>"❌ Ej klar"</formula>
    </cfRule>
  </conditionalFormatting>
  <conditionalFormatting sqref="B8:H13 B17:H21 B25:H37">
    <cfRule type="expression" dxfId="0" priority="3">
      <formula>$F8="🟢 Klar"</formula>
    </cfRule>
  </conditionalFormatting>
  <dataValidations count="2">
    <dataValidation type="list" allowBlank="1" showInputMessage="1" showErrorMessage="1" promptTitle="Status" prompt="Klicka på pilen och välj Klar eller Ej klar." sqref="F30:F37" xr:uid="{00000000-0002-0000-0800-000000000000}">
      <formula1>"🟢 Klar,❌ Ej klar"</formula1>
    </dataValidation>
    <dataValidation type="date" allowBlank="1" showInputMessage="1" showErrorMessage="1" errorTitle="Ogiltigt datum" error="Skriv ett datum, t.ex. 2026-03-01." promptTitle="Datum" prompt="Skriv datum som 2026-03-01. Ctrl+; ger dagens datum." sqref="G30:G37" xr:uid="{00000000-0002-0000-0800-000001000000}">
      <formula1>36526</formula1>
      <formula2>73050</formula2>
    </dataValidation>
  </dataValidations>
  <pageMargins left="0.5" right="0.5" top="0.6" bottom="0.6" header="0.3" footer="0.3"/>
  <pageSetup paperSize="9" fitToHeight="0"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92EB7-DC8D-D24C-8CCE-C967B2339728}">
  <sheetPr codeName="Blad10">
    <tabColor rgb="FF7030A0"/>
    <pageSetUpPr fitToPage="1"/>
  </sheetPr>
  <dimension ref="B2:F200"/>
  <sheetViews>
    <sheetView showGridLines="0" zoomScale="93" zoomScaleNormal="100" workbookViewId="0">
      <pane ySplit="10" topLeftCell="A11" activePane="bottomLeft" state="frozen"/>
      <selection pane="bottomLeft" activeCell="E14" sqref="E14"/>
    </sheetView>
  </sheetViews>
  <sheetFormatPr baseColWidth="10" defaultRowHeight="15" x14ac:dyDescent="0.2"/>
  <cols>
    <col min="1" max="1" width="2" customWidth="1"/>
    <col min="2" max="2" width="6" customWidth="1"/>
    <col min="3" max="3" width="46" customWidth="1"/>
    <col min="4" max="4" width="14" customWidth="1"/>
    <col min="5" max="5" width="84" customWidth="1"/>
    <col min="6" max="6" width="30" customWidth="1"/>
    <col min="7" max="7" width="2" customWidth="1"/>
  </cols>
  <sheetData>
    <row r="2" spans="2:6" ht="30" customHeight="1" x14ac:dyDescent="0.2">
      <c r="B2" s="78" t="s">
        <v>572</v>
      </c>
      <c r="C2" s="78"/>
      <c r="D2" s="78"/>
      <c r="E2" s="78"/>
      <c r="F2" s="78"/>
    </row>
    <row r="3" spans="2:6" ht="20" customHeight="1" x14ac:dyDescent="0.2">
      <c r="B3" s="79" t="s">
        <v>573</v>
      </c>
      <c r="C3" s="79"/>
      <c r="D3" s="79"/>
      <c r="E3" s="79"/>
      <c r="F3" s="79"/>
    </row>
    <row r="5" spans="2:6" ht="30" customHeight="1" x14ac:dyDescent="0.2">
      <c r="B5" s="77" t="s">
        <v>574</v>
      </c>
      <c r="C5" s="77"/>
      <c r="D5" s="77"/>
      <c r="E5" s="77"/>
      <c r="F5" s="77"/>
    </row>
    <row r="6" spans="2:6" ht="19" customHeight="1" x14ac:dyDescent="0.2">
      <c r="B6" s="54" t="s">
        <v>575</v>
      </c>
      <c r="C6" s="50" t="s">
        <v>576</v>
      </c>
      <c r="D6" s="76" t="s">
        <v>577</v>
      </c>
      <c r="E6" s="76"/>
      <c r="F6" s="76"/>
    </row>
    <row r="7" spans="2:6" ht="19" customHeight="1" x14ac:dyDescent="0.2">
      <c r="B7" s="54" t="s">
        <v>578</v>
      </c>
      <c r="C7" s="51" t="s">
        <v>579</v>
      </c>
      <c r="D7" s="76" t="s">
        <v>580</v>
      </c>
      <c r="E7" s="76"/>
      <c r="F7" s="76"/>
    </row>
    <row r="8" spans="2:6" ht="19" customHeight="1" x14ac:dyDescent="0.2">
      <c r="B8" s="54" t="s">
        <v>581</v>
      </c>
      <c r="C8" s="52" t="s">
        <v>582</v>
      </c>
      <c r="D8" s="76" t="s">
        <v>583</v>
      </c>
      <c r="E8" s="76"/>
      <c r="F8" s="76"/>
    </row>
    <row r="9" spans="2:6" ht="17" customHeight="1" x14ac:dyDescent="0.2">
      <c r="B9" s="77" t="s">
        <v>584</v>
      </c>
      <c r="C9" s="77"/>
      <c r="D9" s="77"/>
      <c r="E9" s="77"/>
      <c r="F9" s="77"/>
    </row>
    <row r="10" spans="2:6" ht="30" customHeight="1" x14ac:dyDescent="0.2">
      <c r="B10" s="1" t="s">
        <v>585</v>
      </c>
      <c r="C10" s="1" t="s">
        <v>586</v>
      </c>
      <c r="D10" s="1" t="s">
        <v>587</v>
      </c>
      <c r="E10" s="1" t="s">
        <v>588</v>
      </c>
      <c r="F10" s="1" t="s">
        <v>589</v>
      </c>
    </row>
    <row r="11" spans="2:6" ht="20" customHeight="1" x14ac:dyDescent="0.2">
      <c r="B11" s="75" t="s">
        <v>590</v>
      </c>
      <c r="C11" s="75"/>
      <c r="D11" s="75"/>
      <c r="E11" s="75"/>
      <c r="F11" s="75"/>
    </row>
    <row r="12" spans="2:6" ht="85.25" customHeight="1" x14ac:dyDescent="0.2">
      <c r="B12" s="46">
        <v>1</v>
      </c>
      <c r="C12" s="2" t="s">
        <v>591</v>
      </c>
      <c r="D12" s="48" t="s">
        <v>592</v>
      </c>
      <c r="E12" s="39" t="s">
        <v>593</v>
      </c>
      <c r="F12" s="53" t="s">
        <v>594</v>
      </c>
    </row>
    <row r="13" spans="2:6" ht="108.5" customHeight="1" x14ac:dyDescent="0.2">
      <c r="B13" s="46">
        <v>2</v>
      </c>
      <c r="C13" s="2" t="s">
        <v>595</v>
      </c>
      <c r="D13" s="47" t="s">
        <v>596</v>
      </c>
      <c r="E13" s="39" t="s">
        <v>597</v>
      </c>
      <c r="F13" s="53" t="s">
        <v>598</v>
      </c>
    </row>
    <row r="14" spans="2:6" ht="55.5" customHeight="1" x14ac:dyDescent="0.2">
      <c r="B14" s="46">
        <v>3</v>
      </c>
      <c r="C14" s="2" t="s">
        <v>599</v>
      </c>
      <c r="D14" s="47" t="s">
        <v>600</v>
      </c>
      <c r="E14" s="39" t="s">
        <v>601</v>
      </c>
      <c r="F14" s="53" t="s">
        <v>602</v>
      </c>
    </row>
    <row r="15" spans="2:6" ht="38.75" customHeight="1" x14ac:dyDescent="0.2">
      <c r="B15" s="46">
        <v>4</v>
      </c>
      <c r="C15" s="2" t="s">
        <v>603</v>
      </c>
      <c r="D15" s="47" t="s">
        <v>604</v>
      </c>
      <c r="E15" s="39" t="s">
        <v>605</v>
      </c>
      <c r="F15" s="53"/>
    </row>
    <row r="16" spans="2:6" ht="85.25" customHeight="1" x14ac:dyDescent="0.2">
      <c r="B16" s="46">
        <v>5</v>
      </c>
      <c r="C16" s="2" t="s">
        <v>606</v>
      </c>
      <c r="D16" s="48" t="s">
        <v>607</v>
      </c>
      <c r="E16" s="39" t="s">
        <v>608</v>
      </c>
      <c r="F16" s="53"/>
    </row>
    <row r="17" spans="2:6" ht="96.75" customHeight="1" x14ac:dyDescent="0.2">
      <c r="B17" s="46">
        <v>6</v>
      </c>
      <c r="C17" s="2" t="s">
        <v>609</v>
      </c>
      <c r="D17" s="48" t="s">
        <v>610</v>
      </c>
      <c r="E17" s="39" t="s">
        <v>611</v>
      </c>
      <c r="F17" s="53"/>
    </row>
    <row r="18" spans="2:6" ht="73.5" customHeight="1" x14ac:dyDescent="0.2">
      <c r="B18" s="46">
        <v>7</v>
      </c>
      <c r="C18" s="2" t="s">
        <v>612</v>
      </c>
      <c r="D18" s="48" t="s">
        <v>613</v>
      </c>
      <c r="E18" s="39" t="s">
        <v>614</v>
      </c>
      <c r="F18" s="53" t="s">
        <v>615</v>
      </c>
    </row>
    <row r="19" spans="2:6" ht="85.25" customHeight="1" x14ac:dyDescent="0.2">
      <c r="B19" s="46">
        <v>8</v>
      </c>
      <c r="C19" s="2" t="s">
        <v>616</v>
      </c>
      <c r="D19" s="48" t="s">
        <v>617</v>
      </c>
      <c r="E19" s="39" t="s">
        <v>618</v>
      </c>
      <c r="F19" s="53" t="s">
        <v>619</v>
      </c>
    </row>
    <row r="20" spans="2:6" ht="108.5" customHeight="1" x14ac:dyDescent="0.2">
      <c r="B20" s="46">
        <v>9</v>
      </c>
      <c r="C20" s="2" t="s">
        <v>620</v>
      </c>
      <c r="D20" s="48" t="s">
        <v>621</v>
      </c>
      <c r="E20" s="39" t="s">
        <v>622</v>
      </c>
      <c r="F20" s="53" t="s">
        <v>623</v>
      </c>
    </row>
    <row r="21" spans="2:6" ht="50.5" customHeight="1" x14ac:dyDescent="0.2">
      <c r="B21" s="46">
        <v>10</v>
      </c>
      <c r="C21" s="2" t="s">
        <v>624</v>
      </c>
      <c r="D21" s="47" t="s">
        <v>625</v>
      </c>
      <c r="E21" s="39" t="s">
        <v>626</v>
      </c>
      <c r="F21" s="53" t="s">
        <v>627</v>
      </c>
    </row>
    <row r="22" spans="2:6" ht="55.5" customHeight="1" x14ac:dyDescent="0.2">
      <c r="B22" s="46">
        <v>11</v>
      </c>
      <c r="C22" s="2" t="s">
        <v>628</v>
      </c>
      <c r="D22" s="47" t="s">
        <v>629</v>
      </c>
      <c r="E22" s="39" t="s">
        <v>630</v>
      </c>
      <c r="F22" s="53"/>
    </row>
    <row r="23" spans="2:6" ht="108.5" customHeight="1" x14ac:dyDescent="0.2">
      <c r="B23" s="46">
        <v>12</v>
      </c>
      <c r="C23" s="2" t="s">
        <v>631</v>
      </c>
      <c r="D23" s="48" t="s">
        <v>632</v>
      </c>
      <c r="E23" s="39" t="s">
        <v>633</v>
      </c>
      <c r="F23" s="53"/>
    </row>
    <row r="24" spans="2:6" ht="282.5" customHeight="1" x14ac:dyDescent="0.2">
      <c r="B24" s="46">
        <v>13</v>
      </c>
      <c r="C24" s="2" t="s">
        <v>634</v>
      </c>
      <c r="D24" s="48" t="s">
        <v>635</v>
      </c>
      <c r="E24" s="39" t="s">
        <v>636</v>
      </c>
      <c r="F24" s="53" t="s">
        <v>637</v>
      </c>
    </row>
    <row r="25" spans="2:6" ht="62" customHeight="1" x14ac:dyDescent="0.2">
      <c r="B25" s="46">
        <v>14</v>
      </c>
      <c r="C25" s="2" t="s">
        <v>638</v>
      </c>
      <c r="D25" s="48" t="s">
        <v>639</v>
      </c>
      <c r="E25" s="39" t="s">
        <v>640</v>
      </c>
      <c r="F25" s="53"/>
    </row>
    <row r="26" spans="2:6" ht="62" customHeight="1" x14ac:dyDescent="0.2">
      <c r="B26" s="46">
        <v>15</v>
      </c>
      <c r="C26" s="2" t="s">
        <v>641</v>
      </c>
      <c r="D26" s="48" t="s">
        <v>642</v>
      </c>
      <c r="E26" s="39" t="s">
        <v>643</v>
      </c>
      <c r="F26" s="53" t="s">
        <v>644</v>
      </c>
    </row>
    <row r="27" spans="2:6" ht="42.75" customHeight="1" x14ac:dyDescent="0.2">
      <c r="B27" s="46">
        <v>16</v>
      </c>
      <c r="C27" s="2" t="s">
        <v>645</v>
      </c>
      <c r="D27" s="48" t="s">
        <v>646</v>
      </c>
      <c r="E27" s="39" t="s">
        <v>647</v>
      </c>
      <c r="F27" s="53"/>
    </row>
    <row r="28" spans="2:6" ht="189.5" customHeight="1" x14ac:dyDescent="0.2">
      <c r="B28" s="46">
        <v>17</v>
      </c>
      <c r="C28" s="2" t="s">
        <v>648</v>
      </c>
      <c r="D28" s="48" t="s">
        <v>649</v>
      </c>
      <c r="E28" s="39" t="s">
        <v>650</v>
      </c>
      <c r="F28" s="53"/>
    </row>
    <row r="29" spans="2:6" ht="131.5" customHeight="1" x14ac:dyDescent="0.2">
      <c r="B29" s="46">
        <v>18</v>
      </c>
      <c r="C29" s="2" t="s">
        <v>651</v>
      </c>
      <c r="D29" s="48" t="s">
        <v>652</v>
      </c>
      <c r="E29" s="39" t="s">
        <v>653</v>
      </c>
      <c r="F29" s="53"/>
    </row>
    <row r="30" spans="2:6" ht="55.5" customHeight="1" x14ac:dyDescent="0.2">
      <c r="B30" s="46">
        <v>19</v>
      </c>
      <c r="C30" s="2" t="s">
        <v>654</v>
      </c>
      <c r="D30" s="48" t="s">
        <v>655</v>
      </c>
      <c r="E30" s="39" t="s">
        <v>656</v>
      </c>
      <c r="F30" s="53"/>
    </row>
    <row r="31" spans="2:6" ht="62" customHeight="1" x14ac:dyDescent="0.2">
      <c r="B31" s="46">
        <v>20</v>
      </c>
      <c r="C31" s="2" t="s">
        <v>657</v>
      </c>
      <c r="D31" s="48" t="s">
        <v>658</v>
      </c>
      <c r="E31" s="39" t="s">
        <v>659</v>
      </c>
      <c r="F31" s="53"/>
    </row>
    <row r="32" spans="2:6" ht="42.75" customHeight="1" x14ac:dyDescent="0.2">
      <c r="B32" s="46">
        <v>21</v>
      </c>
      <c r="C32" s="2" t="s">
        <v>660</v>
      </c>
      <c r="D32" s="47" t="s">
        <v>661</v>
      </c>
      <c r="E32" s="39" t="s">
        <v>662</v>
      </c>
      <c r="F32" s="53"/>
    </row>
    <row r="33" spans="2:6" ht="108.5" customHeight="1" x14ac:dyDescent="0.2">
      <c r="B33" s="46">
        <v>22</v>
      </c>
      <c r="C33" s="2" t="s">
        <v>663</v>
      </c>
      <c r="D33" s="48" t="s">
        <v>664</v>
      </c>
      <c r="E33" s="39" t="s">
        <v>665</v>
      </c>
      <c r="F33" s="53"/>
    </row>
    <row r="34" spans="2:6" ht="62" customHeight="1" x14ac:dyDescent="0.2">
      <c r="B34" s="46">
        <v>23</v>
      </c>
      <c r="C34" s="2" t="s">
        <v>666</v>
      </c>
      <c r="D34" s="48" t="s">
        <v>667</v>
      </c>
      <c r="E34" s="39" t="s">
        <v>668</v>
      </c>
      <c r="F34" s="53"/>
    </row>
    <row r="35" spans="2:6" ht="38.75" customHeight="1" x14ac:dyDescent="0.2">
      <c r="B35" s="46">
        <v>24</v>
      </c>
      <c r="C35" s="2" t="s">
        <v>669</v>
      </c>
      <c r="D35" s="47" t="s">
        <v>670</v>
      </c>
      <c r="E35" s="39" t="s">
        <v>671</v>
      </c>
      <c r="F35" s="53" t="s">
        <v>672</v>
      </c>
    </row>
    <row r="36" spans="2:6" ht="62" customHeight="1" x14ac:dyDescent="0.2">
      <c r="B36" s="46">
        <v>25</v>
      </c>
      <c r="C36" s="2" t="s">
        <v>673</v>
      </c>
      <c r="D36" s="47" t="s">
        <v>674</v>
      </c>
      <c r="E36" s="39" t="s">
        <v>675</v>
      </c>
      <c r="F36" s="53" t="s">
        <v>676</v>
      </c>
    </row>
    <row r="37" spans="2:6" ht="178" customHeight="1" x14ac:dyDescent="0.2">
      <c r="B37" s="46">
        <v>26</v>
      </c>
      <c r="C37" s="2" t="s">
        <v>677</v>
      </c>
      <c r="D37" s="48" t="s">
        <v>678</v>
      </c>
      <c r="E37" s="39" t="s">
        <v>679</v>
      </c>
      <c r="F37" s="53" t="s">
        <v>680</v>
      </c>
    </row>
    <row r="38" spans="2:6" ht="62" customHeight="1" x14ac:dyDescent="0.2">
      <c r="B38" s="46">
        <v>27</v>
      </c>
      <c r="C38" s="2" t="s">
        <v>681</v>
      </c>
      <c r="D38" s="48" t="s">
        <v>682</v>
      </c>
      <c r="E38" s="39" t="s">
        <v>683</v>
      </c>
      <c r="F38" s="53"/>
    </row>
    <row r="39" spans="2:6" ht="108.5" customHeight="1" x14ac:dyDescent="0.2">
      <c r="B39" s="46">
        <v>28</v>
      </c>
      <c r="C39" s="2" t="s">
        <v>684</v>
      </c>
      <c r="D39" s="48" t="s">
        <v>685</v>
      </c>
      <c r="E39" s="39" t="s">
        <v>686</v>
      </c>
      <c r="F39" s="53"/>
    </row>
    <row r="40" spans="2:6" ht="50.5" customHeight="1" x14ac:dyDescent="0.2">
      <c r="B40" s="46">
        <v>29</v>
      </c>
      <c r="C40" s="2" t="s">
        <v>687</v>
      </c>
      <c r="D40" s="47" t="s">
        <v>688</v>
      </c>
      <c r="E40" s="39" t="s">
        <v>689</v>
      </c>
      <c r="F40" s="53"/>
    </row>
    <row r="41" spans="2:6" ht="62" customHeight="1" x14ac:dyDescent="0.2">
      <c r="B41" s="46">
        <v>30</v>
      </c>
      <c r="C41" s="2" t="s">
        <v>690</v>
      </c>
      <c r="D41" s="48" t="s">
        <v>691</v>
      </c>
      <c r="E41" s="39" t="s">
        <v>692</v>
      </c>
      <c r="F41" s="53"/>
    </row>
    <row r="42" spans="2:6" ht="85.25" customHeight="1" x14ac:dyDescent="0.2">
      <c r="B42" s="46">
        <v>31</v>
      </c>
      <c r="C42" s="2" t="s">
        <v>693</v>
      </c>
      <c r="D42" s="48" t="s">
        <v>694</v>
      </c>
      <c r="E42" s="39" t="s">
        <v>695</v>
      </c>
      <c r="F42" s="53"/>
    </row>
    <row r="43" spans="2:6" ht="55.5" customHeight="1" x14ac:dyDescent="0.2">
      <c r="B43" s="46">
        <v>32</v>
      </c>
      <c r="C43" s="2" t="s">
        <v>696</v>
      </c>
      <c r="D43" s="47" t="s">
        <v>697</v>
      </c>
      <c r="E43" s="39" t="s">
        <v>698</v>
      </c>
      <c r="F43" s="53"/>
    </row>
    <row r="44" spans="2:6" ht="81.5" customHeight="1" x14ac:dyDescent="0.2">
      <c r="B44" s="46">
        <v>33</v>
      </c>
      <c r="C44" s="2" t="s">
        <v>699</v>
      </c>
      <c r="D44" s="47" t="s">
        <v>700</v>
      </c>
      <c r="E44" s="39" t="s">
        <v>701</v>
      </c>
      <c r="F44" s="53"/>
    </row>
    <row r="45" spans="2:6" ht="38.75" customHeight="1" x14ac:dyDescent="0.2">
      <c r="B45" s="46">
        <v>34</v>
      </c>
      <c r="C45" s="2" t="s">
        <v>702</v>
      </c>
      <c r="D45" s="47" t="s">
        <v>703</v>
      </c>
      <c r="E45" s="39" t="s">
        <v>704</v>
      </c>
      <c r="F45" s="53"/>
    </row>
    <row r="46" spans="2:6" ht="42.75" customHeight="1" x14ac:dyDescent="0.2">
      <c r="B46" s="46">
        <v>35</v>
      </c>
      <c r="C46" s="2" t="s">
        <v>705</v>
      </c>
      <c r="D46" s="47" t="s">
        <v>706</v>
      </c>
      <c r="E46" s="39" t="s">
        <v>707</v>
      </c>
      <c r="F46" s="53" t="s">
        <v>708</v>
      </c>
    </row>
    <row r="47" spans="2:6" ht="42.75" customHeight="1" x14ac:dyDescent="0.2">
      <c r="B47" s="46">
        <v>36</v>
      </c>
      <c r="C47" s="2" t="s">
        <v>709</v>
      </c>
      <c r="D47" s="47" t="s">
        <v>710</v>
      </c>
      <c r="E47" s="39" t="s">
        <v>711</v>
      </c>
      <c r="F47" s="53" t="s">
        <v>712</v>
      </c>
    </row>
    <row r="48" spans="2:6" ht="27.25" customHeight="1" x14ac:dyDescent="0.2">
      <c r="B48" s="46">
        <v>37</v>
      </c>
      <c r="C48" s="2" t="s">
        <v>713</v>
      </c>
      <c r="D48" s="47" t="s">
        <v>714</v>
      </c>
      <c r="E48" s="39" t="s">
        <v>715</v>
      </c>
      <c r="F48" s="53"/>
    </row>
    <row r="49" spans="2:6" ht="38.75" customHeight="1" x14ac:dyDescent="0.2">
      <c r="B49" s="46">
        <v>38</v>
      </c>
      <c r="C49" s="2" t="s">
        <v>716</v>
      </c>
      <c r="D49" s="47" t="s">
        <v>717</v>
      </c>
      <c r="E49" s="39" t="s">
        <v>718</v>
      </c>
      <c r="F49" s="53"/>
    </row>
    <row r="50" spans="2:6" ht="38.75" customHeight="1" x14ac:dyDescent="0.2">
      <c r="B50" s="46">
        <v>39</v>
      </c>
      <c r="C50" s="2" t="s">
        <v>719</v>
      </c>
      <c r="D50" s="47" t="s">
        <v>720</v>
      </c>
      <c r="E50" s="39" t="s">
        <v>721</v>
      </c>
      <c r="F50" s="53"/>
    </row>
    <row r="51" spans="2:6" ht="38.75" customHeight="1" x14ac:dyDescent="0.2">
      <c r="B51" s="46">
        <v>40</v>
      </c>
      <c r="C51" s="2" t="s">
        <v>722</v>
      </c>
      <c r="D51" s="47" t="s">
        <v>723</v>
      </c>
      <c r="E51" s="39" t="s">
        <v>724</v>
      </c>
      <c r="F51" s="53"/>
    </row>
    <row r="52" spans="2:6" ht="42.75" customHeight="1" x14ac:dyDescent="0.2">
      <c r="B52" s="46">
        <v>41</v>
      </c>
      <c r="C52" s="2" t="s">
        <v>725</v>
      </c>
      <c r="D52" s="47" t="s">
        <v>726</v>
      </c>
      <c r="E52" s="39" t="s">
        <v>727</v>
      </c>
      <c r="F52" s="53"/>
    </row>
    <row r="53" spans="2:6" ht="108.5" customHeight="1" x14ac:dyDescent="0.2">
      <c r="B53" s="46">
        <v>42</v>
      </c>
      <c r="C53" s="2" t="s">
        <v>728</v>
      </c>
      <c r="D53" s="47" t="s">
        <v>729</v>
      </c>
      <c r="E53" s="39" t="s">
        <v>730</v>
      </c>
      <c r="F53" s="53"/>
    </row>
    <row r="54" spans="2:6" ht="62" customHeight="1" x14ac:dyDescent="0.2">
      <c r="B54" s="46">
        <v>43</v>
      </c>
      <c r="C54" s="2" t="s">
        <v>731</v>
      </c>
      <c r="D54" s="47" t="s">
        <v>732</v>
      </c>
      <c r="E54" s="39" t="s">
        <v>733</v>
      </c>
      <c r="F54" s="53"/>
    </row>
    <row r="55" spans="2:6" ht="73.5" customHeight="1" x14ac:dyDescent="0.2">
      <c r="B55" s="46">
        <v>44</v>
      </c>
      <c r="C55" s="2" t="s">
        <v>734</v>
      </c>
      <c r="D55" s="47" t="s">
        <v>735</v>
      </c>
      <c r="E55" s="39" t="s">
        <v>736</v>
      </c>
      <c r="F55" s="53"/>
    </row>
    <row r="56" spans="2:6" ht="62" customHeight="1" x14ac:dyDescent="0.2">
      <c r="B56" s="46">
        <v>45</v>
      </c>
      <c r="C56" s="2" t="s">
        <v>737</v>
      </c>
      <c r="D56" s="48" t="s">
        <v>738</v>
      </c>
      <c r="E56" s="39" t="s">
        <v>739</v>
      </c>
      <c r="F56" s="53"/>
    </row>
    <row r="57" spans="2:6" ht="62" customHeight="1" x14ac:dyDescent="0.2">
      <c r="B57" s="46">
        <v>46</v>
      </c>
      <c r="C57" s="2" t="s">
        <v>740</v>
      </c>
      <c r="D57" s="48" t="s">
        <v>741</v>
      </c>
      <c r="E57" s="39" t="s">
        <v>742</v>
      </c>
      <c r="F57" s="53"/>
    </row>
    <row r="58" spans="2:6" ht="143.25" customHeight="1" x14ac:dyDescent="0.2">
      <c r="B58" s="46">
        <v>47</v>
      </c>
      <c r="C58" s="2" t="s">
        <v>743</v>
      </c>
      <c r="D58" s="48" t="s">
        <v>744</v>
      </c>
      <c r="E58" s="39" t="s">
        <v>745</v>
      </c>
      <c r="F58" s="53" t="s">
        <v>746</v>
      </c>
    </row>
    <row r="59" spans="2:6" ht="42.75" customHeight="1" x14ac:dyDescent="0.2">
      <c r="B59" s="46">
        <v>48</v>
      </c>
      <c r="C59" s="2" t="s">
        <v>747</v>
      </c>
      <c r="D59" s="47" t="s">
        <v>748</v>
      </c>
      <c r="E59" s="39" t="s">
        <v>749</v>
      </c>
      <c r="F59" s="53"/>
    </row>
    <row r="60" spans="2:6" ht="38.75" customHeight="1" x14ac:dyDescent="0.2">
      <c r="B60" s="46">
        <v>49</v>
      </c>
      <c r="C60" s="2" t="s">
        <v>750</v>
      </c>
      <c r="D60" s="47" t="s">
        <v>751</v>
      </c>
      <c r="E60" s="39" t="s">
        <v>752</v>
      </c>
      <c r="F60" s="53"/>
    </row>
    <row r="61" spans="2:6" ht="96.75" customHeight="1" x14ac:dyDescent="0.2">
      <c r="B61" s="46">
        <v>50</v>
      </c>
      <c r="C61" s="2" t="s">
        <v>753</v>
      </c>
      <c r="D61" s="48" t="s">
        <v>754</v>
      </c>
      <c r="E61" s="39" t="s">
        <v>755</v>
      </c>
      <c r="F61" s="53" t="s">
        <v>756</v>
      </c>
    </row>
    <row r="62" spans="2:6" ht="29.75" customHeight="1" x14ac:dyDescent="0.2">
      <c r="B62" s="46">
        <v>51</v>
      </c>
      <c r="C62" s="2" t="s">
        <v>757</v>
      </c>
      <c r="D62" s="47" t="s">
        <v>758</v>
      </c>
      <c r="E62" s="39" t="s">
        <v>759</v>
      </c>
      <c r="F62" s="53"/>
    </row>
    <row r="63" spans="2:6" ht="131.5" customHeight="1" x14ac:dyDescent="0.2">
      <c r="B63" s="46">
        <v>52</v>
      </c>
      <c r="C63" s="2" t="s">
        <v>760</v>
      </c>
      <c r="D63" s="49" t="s">
        <v>761</v>
      </c>
      <c r="E63" s="39" t="s">
        <v>762</v>
      </c>
      <c r="F63" s="53" t="s">
        <v>763</v>
      </c>
    </row>
    <row r="64" spans="2:6" ht="73.5" customHeight="1" x14ac:dyDescent="0.2">
      <c r="B64" s="46">
        <v>53</v>
      </c>
      <c r="C64" s="2" t="s">
        <v>764</v>
      </c>
      <c r="D64" s="48" t="s">
        <v>765</v>
      </c>
      <c r="E64" s="39" t="s">
        <v>766</v>
      </c>
      <c r="F64" s="53"/>
    </row>
    <row r="65" spans="2:6" ht="73.5" customHeight="1" x14ac:dyDescent="0.2">
      <c r="B65" s="46">
        <v>54</v>
      </c>
      <c r="C65" s="2" t="s">
        <v>767</v>
      </c>
      <c r="D65" s="49" t="s">
        <v>768</v>
      </c>
      <c r="E65" s="39" t="s">
        <v>769</v>
      </c>
      <c r="F65" s="53" t="s">
        <v>770</v>
      </c>
    </row>
    <row r="66" spans="2:6" ht="73.5" customHeight="1" x14ac:dyDescent="0.2">
      <c r="B66" s="46">
        <v>55</v>
      </c>
      <c r="C66" s="2" t="s">
        <v>771</v>
      </c>
      <c r="D66" s="49" t="s">
        <v>772</v>
      </c>
      <c r="E66" s="39" t="s">
        <v>773</v>
      </c>
      <c r="F66" s="53" t="s">
        <v>774</v>
      </c>
    </row>
    <row r="67" spans="2:6" ht="20" customHeight="1" x14ac:dyDescent="0.2">
      <c r="B67" s="75" t="s">
        <v>775</v>
      </c>
      <c r="C67" s="75"/>
      <c r="D67" s="75"/>
      <c r="E67" s="75"/>
      <c r="F67" s="75"/>
    </row>
    <row r="68" spans="2:6" ht="120" customHeight="1" x14ac:dyDescent="0.2">
      <c r="B68" s="46">
        <v>1</v>
      </c>
      <c r="C68" s="2" t="s">
        <v>776</v>
      </c>
      <c r="D68" s="48" t="s">
        <v>777</v>
      </c>
      <c r="E68" s="39" t="s">
        <v>778</v>
      </c>
      <c r="F68" s="53" t="s">
        <v>779</v>
      </c>
    </row>
    <row r="69" spans="2:6" ht="166.5" customHeight="1" x14ac:dyDescent="0.2">
      <c r="B69" s="46">
        <v>2</v>
      </c>
      <c r="C69" s="2" t="s">
        <v>780</v>
      </c>
      <c r="D69" s="47" t="s">
        <v>781</v>
      </c>
      <c r="E69" s="39" t="s">
        <v>782</v>
      </c>
      <c r="F69" s="53"/>
    </row>
    <row r="70" spans="2:6" ht="62" customHeight="1" x14ac:dyDescent="0.2">
      <c r="B70" s="46">
        <v>3</v>
      </c>
      <c r="C70" s="2" t="s">
        <v>783</v>
      </c>
      <c r="D70" s="47" t="s">
        <v>784</v>
      </c>
      <c r="E70" s="39" t="s">
        <v>785</v>
      </c>
      <c r="F70" s="53"/>
    </row>
    <row r="71" spans="2:6" ht="62" customHeight="1" x14ac:dyDescent="0.2">
      <c r="B71" s="46">
        <v>4</v>
      </c>
      <c r="C71" s="2" t="s">
        <v>786</v>
      </c>
      <c r="D71" s="47" t="s">
        <v>787</v>
      </c>
      <c r="E71" s="39" t="s">
        <v>788</v>
      </c>
      <c r="F71" s="53"/>
    </row>
    <row r="72" spans="2:6" ht="62" customHeight="1" x14ac:dyDescent="0.2">
      <c r="B72" s="46">
        <v>5</v>
      </c>
      <c r="C72" s="2" t="s">
        <v>789</v>
      </c>
      <c r="D72" s="47" t="s">
        <v>790</v>
      </c>
      <c r="E72" s="39" t="s">
        <v>791</v>
      </c>
      <c r="F72" s="53"/>
    </row>
    <row r="73" spans="2:6" ht="20" customHeight="1" x14ac:dyDescent="0.2">
      <c r="B73" s="75" t="s">
        <v>792</v>
      </c>
      <c r="C73" s="75"/>
      <c r="D73" s="75"/>
      <c r="E73" s="75"/>
      <c r="F73" s="75"/>
    </row>
    <row r="74" spans="2:6" ht="50.5" customHeight="1" x14ac:dyDescent="0.2">
      <c r="B74" s="46">
        <v>1</v>
      </c>
      <c r="C74" s="2" t="s">
        <v>793</v>
      </c>
      <c r="D74" s="48" t="s">
        <v>794</v>
      </c>
      <c r="E74" s="39" t="s">
        <v>795</v>
      </c>
      <c r="F74" s="53" t="s">
        <v>796</v>
      </c>
    </row>
    <row r="75" spans="2:6" ht="85.25" customHeight="1" x14ac:dyDescent="0.2">
      <c r="B75" s="46">
        <v>2</v>
      </c>
      <c r="C75" s="2" t="s">
        <v>797</v>
      </c>
      <c r="D75" s="48" t="s">
        <v>798</v>
      </c>
      <c r="E75" s="39" t="s">
        <v>799</v>
      </c>
      <c r="F75" s="53"/>
    </row>
    <row r="76" spans="2:6" ht="62" customHeight="1" x14ac:dyDescent="0.2">
      <c r="B76" s="46">
        <v>3</v>
      </c>
      <c r="C76" s="2" t="s">
        <v>800</v>
      </c>
      <c r="D76" s="48" t="s">
        <v>801</v>
      </c>
      <c r="E76" s="39" t="s">
        <v>802</v>
      </c>
      <c r="F76" s="53"/>
    </row>
    <row r="77" spans="2:6" ht="96.75" customHeight="1" x14ac:dyDescent="0.2">
      <c r="B77" s="46">
        <v>4</v>
      </c>
      <c r="C77" s="2" t="s">
        <v>803</v>
      </c>
      <c r="D77" s="48" t="s">
        <v>804</v>
      </c>
      <c r="E77" s="39" t="s">
        <v>805</v>
      </c>
      <c r="F77" s="53"/>
    </row>
    <row r="78" spans="2:6" ht="85.25" customHeight="1" x14ac:dyDescent="0.2">
      <c r="B78" s="46">
        <v>5</v>
      </c>
      <c r="C78" s="2" t="s">
        <v>806</v>
      </c>
      <c r="D78" s="47" t="s">
        <v>807</v>
      </c>
      <c r="E78" s="39" t="s">
        <v>808</v>
      </c>
      <c r="F78" s="53"/>
    </row>
    <row r="79" spans="2:6" ht="131.5" customHeight="1" x14ac:dyDescent="0.2">
      <c r="B79" s="46">
        <v>6</v>
      </c>
      <c r="C79" s="2" t="s">
        <v>809</v>
      </c>
      <c r="D79" s="48" t="s">
        <v>810</v>
      </c>
      <c r="E79" s="39" t="s">
        <v>811</v>
      </c>
      <c r="F79" s="53"/>
    </row>
    <row r="80" spans="2:6" ht="50.5" customHeight="1" x14ac:dyDescent="0.2">
      <c r="B80" s="46">
        <v>7</v>
      </c>
      <c r="C80" s="2" t="s">
        <v>812</v>
      </c>
      <c r="D80" s="48" t="s">
        <v>813</v>
      </c>
      <c r="E80" s="39" t="s">
        <v>814</v>
      </c>
      <c r="F80" s="53"/>
    </row>
    <row r="81" spans="2:6" ht="154.75" customHeight="1" x14ac:dyDescent="0.2">
      <c r="B81" s="46">
        <v>8</v>
      </c>
      <c r="C81" s="2" t="s">
        <v>815</v>
      </c>
      <c r="D81" s="48" t="s">
        <v>816</v>
      </c>
      <c r="E81" s="39" t="s">
        <v>817</v>
      </c>
      <c r="F81" s="53" t="s">
        <v>818</v>
      </c>
    </row>
    <row r="82" spans="2:6" ht="96.75" customHeight="1" x14ac:dyDescent="0.2">
      <c r="B82" s="46">
        <v>9</v>
      </c>
      <c r="C82" s="2" t="s">
        <v>819</v>
      </c>
      <c r="D82" s="48" t="s">
        <v>820</v>
      </c>
      <c r="E82" s="39" t="s">
        <v>821</v>
      </c>
      <c r="F82" s="53"/>
    </row>
    <row r="83" spans="2:6" ht="85.25" customHeight="1" x14ac:dyDescent="0.2">
      <c r="B83" s="46">
        <v>10</v>
      </c>
      <c r="C83" s="2" t="s">
        <v>822</v>
      </c>
      <c r="D83" s="48" t="s">
        <v>823</v>
      </c>
      <c r="E83" s="39" t="s">
        <v>824</v>
      </c>
      <c r="F83" s="53"/>
    </row>
    <row r="84" spans="2:6" ht="85.25" customHeight="1" x14ac:dyDescent="0.2">
      <c r="B84" s="46">
        <v>11</v>
      </c>
      <c r="C84" s="2" t="s">
        <v>825</v>
      </c>
      <c r="D84" s="48" t="s">
        <v>826</v>
      </c>
      <c r="E84" s="39" t="s">
        <v>827</v>
      </c>
      <c r="F84" s="53"/>
    </row>
    <row r="85" spans="2:6" ht="108.5" customHeight="1" x14ac:dyDescent="0.2">
      <c r="B85" s="46">
        <v>12</v>
      </c>
      <c r="C85" s="2" t="s">
        <v>828</v>
      </c>
      <c r="D85" s="48" t="s">
        <v>829</v>
      </c>
      <c r="E85" s="39" t="s">
        <v>830</v>
      </c>
      <c r="F85" s="53"/>
    </row>
    <row r="86" spans="2:6" ht="85.25" customHeight="1" x14ac:dyDescent="0.2">
      <c r="B86" s="46">
        <v>13</v>
      </c>
      <c r="C86" s="2" t="s">
        <v>831</v>
      </c>
      <c r="D86" s="48" t="s">
        <v>832</v>
      </c>
      <c r="E86" s="39" t="s">
        <v>833</v>
      </c>
      <c r="F86" s="53"/>
    </row>
    <row r="87" spans="2:6" ht="62" customHeight="1" x14ac:dyDescent="0.2">
      <c r="B87" s="46">
        <v>14</v>
      </c>
      <c r="C87" s="2" t="s">
        <v>834</v>
      </c>
      <c r="D87" s="47" t="s">
        <v>835</v>
      </c>
      <c r="E87" s="39" t="s">
        <v>836</v>
      </c>
      <c r="F87" s="53" t="s">
        <v>837</v>
      </c>
    </row>
    <row r="88" spans="2:6" ht="50.5" customHeight="1" x14ac:dyDescent="0.2">
      <c r="B88" s="46">
        <v>15</v>
      </c>
      <c r="C88" s="2" t="s">
        <v>838</v>
      </c>
      <c r="D88" s="47" t="s">
        <v>839</v>
      </c>
      <c r="E88" s="39" t="s">
        <v>840</v>
      </c>
      <c r="F88" s="53" t="s">
        <v>841</v>
      </c>
    </row>
    <row r="89" spans="2:6" ht="38.75" customHeight="1" x14ac:dyDescent="0.2">
      <c r="B89" s="46">
        <v>16</v>
      </c>
      <c r="C89" s="2" t="s">
        <v>842</v>
      </c>
      <c r="D89" s="47" t="s">
        <v>843</v>
      </c>
      <c r="E89" s="39" t="s">
        <v>844</v>
      </c>
      <c r="F89" s="53"/>
    </row>
    <row r="90" spans="2:6" ht="29.75" customHeight="1" x14ac:dyDescent="0.2">
      <c r="B90" s="46">
        <v>17</v>
      </c>
      <c r="C90" s="2" t="s">
        <v>845</v>
      </c>
      <c r="D90" s="47" t="s">
        <v>846</v>
      </c>
      <c r="E90" s="39" t="s">
        <v>847</v>
      </c>
      <c r="F90" s="53" t="s">
        <v>848</v>
      </c>
    </row>
    <row r="91" spans="2:6" ht="96.75" customHeight="1" x14ac:dyDescent="0.2">
      <c r="B91" s="46">
        <v>18</v>
      </c>
      <c r="C91" s="2" t="s">
        <v>849</v>
      </c>
      <c r="D91" s="48" t="s">
        <v>850</v>
      </c>
      <c r="E91" s="39" t="s">
        <v>851</v>
      </c>
      <c r="F91" s="53"/>
    </row>
    <row r="92" spans="2:6" ht="154.75" customHeight="1" x14ac:dyDescent="0.2">
      <c r="B92" s="46">
        <v>19</v>
      </c>
      <c r="C92" s="2" t="s">
        <v>852</v>
      </c>
      <c r="D92" s="48" t="s">
        <v>853</v>
      </c>
      <c r="E92" s="39" t="s">
        <v>854</v>
      </c>
      <c r="F92" s="53" t="s">
        <v>855</v>
      </c>
    </row>
    <row r="93" spans="2:6" ht="85.25" customHeight="1" x14ac:dyDescent="0.2">
      <c r="B93" s="46">
        <v>20</v>
      </c>
      <c r="C93" s="2" t="s">
        <v>856</v>
      </c>
      <c r="D93" s="48" t="s">
        <v>857</v>
      </c>
      <c r="E93" s="39" t="s">
        <v>858</v>
      </c>
      <c r="F93" s="53"/>
    </row>
    <row r="94" spans="2:6" ht="50.5" customHeight="1" x14ac:dyDescent="0.2">
      <c r="B94" s="46">
        <v>21</v>
      </c>
      <c r="C94" s="2" t="s">
        <v>859</v>
      </c>
      <c r="D94" s="47" t="s">
        <v>860</v>
      </c>
      <c r="E94" s="39" t="s">
        <v>861</v>
      </c>
      <c r="F94" s="53"/>
    </row>
    <row r="95" spans="2:6" ht="154.75" customHeight="1" x14ac:dyDescent="0.2">
      <c r="B95" s="46">
        <v>22</v>
      </c>
      <c r="C95" s="2" t="s">
        <v>862</v>
      </c>
      <c r="D95" s="48" t="s">
        <v>863</v>
      </c>
      <c r="E95" s="39" t="s">
        <v>864</v>
      </c>
      <c r="F95" s="53" t="s">
        <v>865</v>
      </c>
    </row>
    <row r="96" spans="2:6" ht="50.5" customHeight="1" x14ac:dyDescent="0.2">
      <c r="B96" s="46">
        <v>23</v>
      </c>
      <c r="C96" s="2" t="s">
        <v>866</v>
      </c>
      <c r="D96" s="48" t="s">
        <v>867</v>
      </c>
      <c r="E96" s="39" t="s">
        <v>868</v>
      </c>
      <c r="F96" s="53"/>
    </row>
    <row r="97" spans="2:6" ht="73.5" customHeight="1" x14ac:dyDescent="0.2">
      <c r="B97" s="46">
        <v>24</v>
      </c>
      <c r="C97" s="2" t="s">
        <v>869</v>
      </c>
      <c r="D97" s="48" t="s">
        <v>870</v>
      </c>
      <c r="E97" s="39" t="s">
        <v>871</v>
      </c>
      <c r="F97" s="53" t="s">
        <v>872</v>
      </c>
    </row>
    <row r="98" spans="2:6" ht="50.5" customHeight="1" x14ac:dyDescent="0.2">
      <c r="B98" s="46">
        <v>25</v>
      </c>
      <c r="C98" s="2" t="s">
        <v>873</v>
      </c>
      <c r="D98" s="48" t="s">
        <v>874</v>
      </c>
      <c r="E98" s="39" t="s">
        <v>875</v>
      </c>
      <c r="F98" s="53"/>
    </row>
    <row r="99" spans="2:6" ht="38.75" customHeight="1" x14ac:dyDescent="0.2">
      <c r="B99" s="46">
        <v>26</v>
      </c>
      <c r="C99" s="2" t="s">
        <v>876</v>
      </c>
      <c r="D99" s="48" t="s">
        <v>877</v>
      </c>
      <c r="E99" s="39" t="s">
        <v>878</v>
      </c>
      <c r="F99" s="53"/>
    </row>
    <row r="100" spans="2:6" ht="166.5" customHeight="1" x14ac:dyDescent="0.2">
      <c r="B100" s="46">
        <v>27</v>
      </c>
      <c r="C100" s="2" t="s">
        <v>879</v>
      </c>
      <c r="D100" s="48" t="s">
        <v>880</v>
      </c>
      <c r="E100" s="39" t="s">
        <v>881</v>
      </c>
      <c r="F100" s="53"/>
    </row>
    <row r="101" spans="2:6" ht="27.25" customHeight="1" x14ac:dyDescent="0.2">
      <c r="B101" s="46">
        <v>28</v>
      </c>
      <c r="C101" s="2" t="s">
        <v>882</v>
      </c>
      <c r="D101" s="47" t="s">
        <v>883</v>
      </c>
      <c r="E101" s="39" t="s">
        <v>884</v>
      </c>
      <c r="F101" s="53"/>
    </row>
    <row r="102" spans="2:6" ht="73.5" customHeight="1" x14ac:dyDescent="0.2">
      <c r="B102" s="46">
        <v>29</v>
      </c>
      <c r="C102" s="2" t="s">
        <v>885</v>
      </c>
      <c r="D102" s="49" t="s">
        <v>886</v>
      </c>
      <c r="E102" s="39" t="s">
        <v>887</v>
      </c>
      <c r="F102" s="53" t="s">
        <v>888</v>
      </c>
    </row>
    <row r="103" spans="2:6" ht="96.75" customHeight="1" x14ac:dyDescent="0.2">
      <c r="B103" s="46">
        <v>30</v>
      </c>
      <c r="C103" s="2" t="s">
        <v>889</v>
      </c>
      <c r="D103" s="48" t="s">
        <v>890</v>
      </c>
      <c r="E103" s="39" t="s">
        <v>891</v>
      </c>
      <c r="F103" s="53" t="s">
        <v>892</v>
      </c>
    </row>
    <row r="104" spans="2:6" ht="42.75" customHeight="1" x14ac:dyDescent="0.2">
      <c r="B104" s="46">
        <v>31</v>
      </c>
      <c r="C104" s="2" t="s">
        <v>893</v>
      </c>
      <c r="D104" s="48" t="s">
        <v>894</v>
      </c>
      <c r="E104" s="39" t="s">
        <v>895</v>
      </c>
      <c r="F104" s="53" t="s">
        <v>896</v>
      </c>
    </row>
    <row r="105" spans="2:6" ht="20" customHeight="1" x14ac:dyDescent="0.2">
      <c r="B105" s="75" t="s">
        <v>897</v>
      </c>
      <c r="C105" s="75"/>
      <c r="D105" s="75"/>
      <c r="E105" s="75"/>
      <c r="F105" s="75"/>
    </row>
    <row r="106" spans="2:6" ht="73.5" customHeight="1" x14ac:dyDescent="0.2">
      <c r="B106" s="46">
        <v>1</v>
      </c>
      <c r="C106" s="2" t="s">
        <v>898</v>
      </c>
      <c r="D106" s="47" t="s">
        <v>899</v>
      </c>
      <c r="E106" s="39" t="s">
        <v>900</v>
      </c>
      <c r="F106" s="53"/>
    </row>
    <row r="107" spans="2:6" ht="62" customHeight="1" x14ac:dyDescent="0.2">
      <c r="B107" s="46">
        <v>2</v>
      </c>
      <c r="C107" s="2" t="s">
        <v>901</v>
      </c>
      <c r="D107" s="48" t="s">
        <v>902</v>
      </c>
      <c r="E107" s="39" t="s">
        <v>903</v>
      </c>
      <c r="F107" s="53"/>
    </row>
    <row r="108" spans="2:6" ht="108.5" customHeight="1" x14ac:dyDescent="0.2">
      <c r="B108" s="46">
        <v>3</v>
      </c>
      <c r="C108" s="2" t="s">
        <v>904</v>
      </c>
      <c r="D108" s="47" t="s">
        <v>905</v>
      </c>
      <c r="E108" s="39" t="s">
        <v>906</v>
      </c>
      <c r="F108" s="53"/>
    </row>
    <row r="109" spans="2:6" ht="96.75" customHeight="1" x14ac:dyDescent="0.2">
      <c r="B109" s="46">
        <v>4</v>
      </c>
      <c r="C109" s="2" t="s">
        <v>907</v>
      </c>
      <c r="D109" s="47" t="s">
        <v>908</v>
      </c>
      <c r="E109" s="39" t="s">
        <v>909</v>
      </c>
      <c r="F109" s="53"/>
    </row>
    <row r="110" spans="2:6" ht="73.5" customHeight="1" x14ac:dyDescent="0.2">
      <c r="B110" s="46">
        <v>5</v>
      </c>
      <c r="C110" s="2" t="s">
        <v>910</v>
      </c>
      <c r="D110" s="49" t="s">
        <v>911</v>
      </c>
      <c r="E110" s="39" t="s">
        <v>912</v>
      </c>
      <c r="F110" s="53" t="s">
        <v>913</v>
      </c>
    </row>
    <row r="111" spans="2:6" ht="62" customHeight="1" x14ac:dyDescent="0.2">
      <c r="B111" s="46">
        <v>6</v>
      </c>
      <c r="C111" s="2" t="s">
        <v>914</v>
      </c>
      <c r="D111" s="47" t="s">
        <v>915</v>
      </c>
      <c r="E111" s="39" t="s">
        <v>916</v>
      </c>
      <c r="F111" s="53"/>
    </row>
    <row r="112" spans="2:6" ht="154.75" customHeight="1" x14ac:dyDescent="0.2">
      <c r="B112" s="46">
        <v>7</v>
      </c>
      <c r="C112" s="2" t="s">
        <v>917</v>
      </c>
      <c r="D112" s="47" t="s">
        <v>918</v>
      </c>
      <c r="E112" s="39" t="s">
        <v>919</v>
      </c>
      <c r="F112" s="53"/>
    </row>
    <row r="113" spans="2:6" ht="62" customHeight="1" x14ac:dyDescent="0.2">
      <c r="B113" s="46">
        <v>8</v>
      </c>
      <c r="C113" s="2" t="s">
        <v>920</v>
      </c>
      <c r="D113" s="48" t="s">
        <v>921</v>
      </c>
      <c r="E113" s="39" t="s">
        <v>922</v>
      </c>
      <c r="F113" s="53" t="s">
        <v>923</v>
      </c>
    </row>
    <row r="114" spans="2:6" ht="62" customHeight="1" x14ac:dyDescent="0.2">
      <c r="B114" s="46">
        <v>9</v>
      </c>
      <c r="C114" s="2" t="s">
        <v>924</v>
      </c>
      <c r="D114" s="47" t="s">
        <v>925</v>
      </c>
      <c r="E114" s="39" t="s">
        <v>926</v>
      </c>
      <c r="F114" s="53"/>
    </row>
    <row r="115" spans="2:6" ht="20" customHeight="1" x14ac:dyDescent="0.2">
      <c r="B115" s="75" t="s">
        <v>927</v>
      </c>
      <c r="C115" s="75"/>
      <c r="D115" s="75"/>
      <c r="E115" s="75"/>
      <c r="F115" s="75"/>
    </row>
    <row r="116" spans="2:6" ht="38.75" customHeight="1" x14ac:dyDescent="0.2">
      <c r="B116" s="46">
        <v>1</v>
      </c>
      <c r="C116" s="2" t="s">
        <v>928</v>
      </c>
      <c r="D116" s="47" t="s">
        <v>929</v>
      </c>
      <c r="E116" s="39" t="s">
        <v>930</v>
      </c>
      <c r="F116" s="53"/>
    </row>
    <row r="117" spans="2:6" ht="38.75" customHeight="1" x14ac:dyDescent="0.2">
      <c r="B117" s="46">
        <v>2</v>
      </c>
      <c r="C117" s="2" t="s">
        <v>931</v>
      </c>
      <c r="D117" s="47" t="s">
        <v>932</v>
      </c>
      <c r="E117" s="39" t="s">
        <v>933</v>
      </c>
      <c r="F117" s="53" t="s">
        <v>934</v>
      </c>
    </row>
    <row r="118" spans="2:6" ht="38.75" customHeight="1" x14ac:dyDescent="0.2">
      <c r="B118" s="46">
        <v>3</v>
      </c>
      <c r="C118" s="2" t="s">
        <v>935</v>
      </c>
      <c r="D118" s="47" t="s">
        <v>936</v>
      </c>
      <c r="E118" s="39" t="s">
        <v>937</v>
      </c>
      <c r="F118" s="53" t="s">
        <v>938</v>
      </c>
    </row>
    <row r="119" spans="2:6" ht="38.75" customHeight="1" x14ac:dyDescent="0.2">
      <c r="B119" s="46">
        <v>4</v>
      </c>
      <c r="C119" s="2" t="s">
        <v>939</v>
      </c>
      <c r="D119" s="47" t="s">
        <v>940</v>
      </c>
      <c r="E119" s="39" t="s">
        <v>941</v>
      </c>
      <c r="F119" s="53" t="s">
        <v>942</v>
      </c>
    </row>
    <row r="120" spans="2:6" ht="131.5" customHeight="1" x14ac:dyDescent="0.2">
      <c r="B120" s="46">
        <v>5</v>
      </c>
      <c r="C120" s="2" t="s">
        <v>943</v>
      </c>
      <c r="D120" s="48" t="s">
        <v>944</v>
      </c>
      <c r="E120" s="39" t="s">
        <v>945</v>
      </c>
      <c r="F120" s="53" t="s">
        <v>946</v>
      </c>
    </row>
    <row r="121" spans="2:6" ht="38.75" customHeight="1" x14ac:dyDescent="0.2">
      <c r="B121" s="46">
        <v>6</v>
      </c>
      <c r="C121" s="2" t="s">
        <v>947</v>
      </c>
      <c r="D121" s="47" t="s">
        <v>948</v>
      </c>
      <c r="E121" s="39" t="s">
        <v>949</v>
      </c>
      <c r="F121" s="53" t="s">
        <v>950</v>
      </c>
    </row>
    <row r="122" spans="2:6" ht="38.75" customHeight="1" x14ac:dyDescent="0.2">
      <c r="B122" s="46">
        <v>7</v>
      </c>
      <c r="C122" s="2" t="s">
        <v>951</v>
      </c>
      <c r="D122" s="48" t="s">
        <v>952</v>
      </c>
      <c r="E122" s="39" t="s">
        <v>953</v>
      </c>
      <c r="F122" s="53"/>
    </row>
    <row r="123" spans="2:6" ht="143.25" customHeight="1" x14ac:dyDescent="0.2">
      <c r="B123" s="46">
        <v>8</v>
      </c>
      <c r="C123" s="2" t="s">
        <v>954</v>
      </c>
      <c r="D123" s="48" t="s">
        <v>955</v>
      </c>
      <c r="E123" s="39" t="s">
        <v>956</v>
      </c>
      <c r="F123" s="53"/>
    </row>
    <row r="124" spans="2:6" ht="224.5" customHeight="1" x14ac:dyDescent="0.2">
      <c r="B124" s="46">
        <v>9</v>
      </c>
      <c r="C124" s="2" t="s">
        <v>957</v>
      </c>
      <c r="D124" s="47" t="s">
        <v>958</v>
      </c>
      <c r="E124" s="39" t="s">
        <v>959</v>
      </c>
      <c r="F124" s="53"/>
    </row>
    <row r="125" spans="2:6" ht="29.75" customHeight="1" x14ac:dyDescent="0.2">
      <c r="B125" s="46">
        <v>10</v>
      </c>
      <c r="C125" s="2" t="s">
        <v>960</v>
      </c>
      <c r="D125" s="47" t="s">
        <v>961</v>
      </c>
      <c r="E125" s="39" t="s">
        <v>962</v>
      </c>
      <c r="F125" s="53"/>
    </row>
    <row r="126" spans="2:6" ht="55.5" customHeight="1" x14ac:dyDescent="0.2">
      <c r="B126" s="46">
        <v>11</v>
      </c>
      <c r="C126" s="2" t="s">
        <v>963</v>
      </c>
      <c r="D126" s="47" t="s">
        <v>964</v>
      </c>
      <c r="E126" s="39" t="s">
        <v>965</v>
      </c>
      <c r="F126" s="53"/>
    </row>
    <row r="127" spans="2:6" ht="62" customHeight="1" x14ac:dyDescent="0.2">
      <c r="B127" s="46">
        <v>12</v>
      </c>
      <c r="C127" s="2" t="s">
        <v>966</v>
      </c>
      <c r="D127" s="48" t="s">
        <v>967</v>
      </c>
      <c r="E127" s="39" t="s">
        <v>968</v>
      </c>
      <c r="F127" s="53"/>
    </row>
    <row r="128" spans="2:6" ht="154.75" customHeight="1" x14ac:dyDescent="0.2">
      <c r="B128" s="46">
        <v>13</v>
      </c>
      <c r="C128" s="2" t="s">
        <v>969</v>
      </c>
      <c r="D128" s="48" t="s">
        <v>970</v>
      </c>
      <c r="E128" s="39" t="s">
        <v>971</v>
      </c>
      <c r="F128" s="53"/>
    </row>
    <row r="129" spans="2:6" ht="38.75" customHeight="1" x14ac:dyDescent="0.2">
      <c r="B129" s="46">
        <v>14</v>
      </c>
      <c r="C129" s="2" t="s">
        <v>972</v>
      </c>
      <c r="D129" s="47" t="s">
        <v>973</v>
      </c>
      <c r="E129" s="39" t="s">
        <v>974</v>
      </c>
      <c r="F129" s="53"/>
    </row>
    <row r="130" spans="2:6" ht="55.5" customHeight="1" x14ac:dyDescent="0.2">
      <c r="B130" s="46">
        <v>15</v>
      </c>
      <c r="C130" s="2" t="s">
        <v>975</v>
      </c>
      <c r="D130" s="47" t="s">
        <v>976</v>
      </c>
      <c r="E130" s="39" t="s">
        <v>977</v>
      </c>
      <c r="F130" s="53" t="s">
        <v>978</v>
      </c>
    </row>
    <row r="131" spans="2:6" ht="42.75" customHeight="1" x14ac:dyDescent="0.2">
      <c r="B131" s="46">
        <v>16</v>
      </c>
      <c r="C131" s="2" t="s">
        <v>979</v>
      </c>
      <c r="D131" s="47" t="s">
        <v>980</v>
      </c>
      <c r="E131" s="39" t="s">
        <v>981</v>
      </c>
      <c r="F131" s="53" t="s">
        <v>982</v>
      </c>
    </row>
    <row r="132" spans="2:6" ht="96.75" customHeight="1" x14ac:dyDescent="0.2">
      <c r="B132" s="46">
        <v>17</v>
      </c>
      <c r="C132" s="2" t="s">
        <v>983</v>
      </c>
      <c r="D132" s="48" t="s">
        <v>984</v>
      </c>
      <c r="E132" s="39" t="s">
        <v>985</v>
      </c>
      <c r="F132" s="53"/>
    </row>
    <row r="133" spans="2:6" ht="85.25" customHeight="1" x14ac:dyDescent="0.2">
      <c r="B133" s="46">
        <v>18</v>
      </c>
      <c r="C133" s="2" t="s">
        <v>986</v>
      </c>
      <c r="D133" s="47" t="s">
        <v>987</v>
      </c>
      <c r="E133" s="39" t="s">
        <v>988</v>
      </c>
      <c r="F133" s="53"/>
    </row>
    <row r="134" spans="2:6" ht="50.5" customHeight="1" x14ac:dyDescent="0.2">
      <c r="B134" s="46">
        <v>19</v>
      </c>
      <c r="C134" s="2" t="s">
        <v>989</v>
      </c>
      <c r="D134" s="47" t="s">
        <v>990</v>
      </c>
      <c r="E134" s="39" t="s">
        <v>991</v>
      </c>
      <c r="F134" s="53"/>
    </row>
    <row r="135" spans="2:6" ht="42.75" customHeight="1" x14ac:dyDescent="0.2">
      <c r="B135" s="46">
        <v>20</v>
      </c>
      <c r="C135" s="2" t="s">
        <v>992</v>
      </c>
      <c r="D135" s="47" t="s">
        <v>993</v>
      </c>
      <c r="E135" s="39" t="s">
        <v>994</v>
      </c>
      <c r="F135" s="53"/>
    </row>
    <row r="136" spans="2:6" ht="27.25" customHeight="1" x14ac:dyDescent="0.2">
      <c r="B136" s="46">
        <v>21</v>
      </c>
      <c r="C136" s="2" t="s">
        <v>995</v>
      </c>
      <c r="D136" s="47" t="s">
        <v>996</v>
      </c>
      <c r="E136" s="39" t="s">
        <v>997</v>
      </c>
      <c r="F136" s="53"/>
    </row>
    <row r="137" spans="2:6" ht="27.25" customHeight="1" x14ac:dyDescent="0.2">
      <c r="B137" s="46">
        <v>22</v>
      </c>
      <c r="C137" s="2" t="s">
        <v>998</v>
      </c>
      <c r="D137" s="47" t="s">
        <v>999</v>
      </c>
      <c r="E137" s="39" t="s">
        <v>1000</v>
      </c>
      <c r="F137" s="53"/>
    </row>
    <row r="138" spans="2:6" ht="42.75" customHeight="1" x14ac:dyDescent="0.2">
      <c r="B138" s="46">
        <v>23</v>
      </c>
      <c r="C138" s="2" t="s">
        <v>1001</v>
      </c>
      <c r="D138" s="47" t="s">
        <v>1002</v>
      </c>
      <c r="E138" s="39" t="s">
        <v>1003</v>
      </c>
      <c r="F138" s="53"/>
    </row>
    <row r="139" spans="2:6" ht="38.75" customHeight="1" x14ac:dyDescent="0.2">
      <c r="B139" s="46">
        <v>24</v>
      </c>
      <c r="C139" s="2" t="s">
        <v>1004</v>
      </c>
      <c r="D139" s="47" t="s">
        <v>1005</v>
      </c>
      <c r="E139" s="39" t="s">
        <v>1006</v>
      </c>
      <c r="F139" s="53"/>
    </row>
    <row r="140" spans="2:6" ht="50.5" customHeight="1" x14ac:dyDescent="0.2">
      <c r="B140" s="46">
        <v>25</v>
      </c>
      <c r="C140" s="2" t="s">
        <v>1007</v>
      </c>
      <c r="D140" s="47" t="s">
        <v>1008</v>
      </c>
      <c r="E140" s="39" t="s">
        <v>1009</v>
      </c>
      <c r="F140" s="53"/>
    </row>
    <row r="141" spans="2:6" ht="38.75" customHeight="1" x14ac:dyDescent="0.2">
      <c r="B141" s="46">
        <v>26</v>
      </c>
      <c r="C141" s="2" t="s">
        <v>1010</v>
      </c>
      <c r="D141" s="47" t="s">
        <v>1011</v>
      </c>
      <c r="E141" s="39" t="s">
        <v>1012</v>
      </c>
      <c r="F141" s="53"/>
    </row>
    <row r="142" spans="2:6" ht="143.25" customHeight="1" x14ac:dyDescent="0.2">
      <c r="B142" s="46">
        <v>27</v>
      </c>
      <c r="C142" s="2" t="s">
        <v>1013</v>
      </c>
      <c r="D142" s="47" t="s">
        <v>1014</v>
      </c>
      <c r="E142" s="39" t="s">
        <v>1015</v>
      </c>
      <c r="F142" s="53" t="s">
        <v>1016</v>
      </c>
    </row>
    <row r="143" spans="2:6" ht="27.25" customHeight="1" x14ac:dyDescent="0.2">
      <c r="B143" s="46">
        <v>28</v>
      </c>
      <c r="C143" s="2" t="s">
        <v>1017</v>
      </c>
      <c r="D143" s="47" t="s">
        <v>1018</v>
      </c>
      <c r="E143" s="39" t="s">
        <v>1019</v>
      </c>
      <c r="F143" s="53"/>
    </row>
    <row r="144" spans="2:6" ht="96.75" customHeight="1" x14ac:dyDescent="0.2">
      <c r="B144" s="46">
        <v>29</v>
      </c>
      <c r="C144" s="2" t="s">
        <v>1020</v>
      </c>
      <c r="D144" s="48" t="s">
        <v>1021</v>
      </c>
      <c r="E144" s="39" t="s">
        <v>1022</v>
      </c>
      <c r="F144" s="53"/>
    </row>
    <row r="145" spans="2:6" ht="50.5" customHeight="1" x14ac:dyDescent="0.2">
      <c r="B145" s="46">
        <v>30</v>
      </c>
      <c r="C145" s="2" t="s">
        <v>1023</v>
      </c>
      <c r="D145" s="47" t="s">
        <v>1024</v>
      </c>
      <c r="E145" s="39" t="s">
        <v>1025</v>
      </c>
      <c r="F145" s="53"/>
    </row>
    <row r="146" spans="2:6" ht="73.5" customHeight="1" x14ac:dyDescent="0.2">
      <c r="B146" s="46">
        <v>31</v>
      </c>
      <c r="C146" s="2" t="s">
        <v>1026</v>
      </c>
      <c r="D146" s="47" t="s">
        <v>1027</v>
      </c>
      <c r="E146" s="39" t="s">
        <v>1028</v>
      </c>
      <c r="F146" s="53"/>
    </row>
    <row r="147" spans="2:6" ht="73.5" customHeight="1" x14ac:dyDescent="0.2">
      <c r="B147" s="46">
        <v>32</v>
      </c>
      <c r="C147" s="2" t="s">
        <v>1029</v>
      </c>
      <c r="D147" s="47" t="s">
        <v>1030</v>
      </c>
      <c r="E147" s="39" t="s">
        <v>1031</v>
      </c>
      <c r="F147" s="53"/>
    </row>
    <row r="148" spans="2:6" ht="108.5" customHeight="1" x14ac:dyDescent="0.2">
      <c r="B148" s="46">
        <v>33</v>
      </c>
      <c r="C148" s="2" t="s">
        <v>1032</v>
      </c>
      <c r="D148" s="47" t="s">
        <v>1033</v>
      </c>
      <c r="E148" s="39" t="s">
        <v>1034</v>
      </c>
      <c r="F148" s="53"/>
    </row>
    <row r="149" spans="2:6" ht="20" customHeight="1" x14ac:dyDescent="0.2">
      <c r="B149" s="75" t="s">
        <v>1035</v>
      </c>
      <c r="C149" s="75"/>
      <c r="D149" s="75"/>
      <c r="E149" s="75"/>
      <c r="F149" s="75"/>
    </row>
    <row r="150" spans="2:6" ht="178" customHeight="1" x14ac:dyDescent="0.2">
      <c r="B150" s="46">
        <v>1</v>
      </c>
      <c r="C150" s="2" t="s">
        <v>1036</v>
      </c>
      <c r="D150" s="47" t="s">
        <v>1037</v>
      </c>
      <c r="E150" s="39" t="s">
        <v>1038</v>
      </c>
      <c r="F150" s="53"/>
    </row>
    <row r="151" spans="2:6" ht="96.75" customHeight="1" x14ac:dyDescent="0.2">
      <c r="B151" s="46">
        <v>2</v>
      </c>
      <c r="C151" s="2" t="s">
        <v>1039</v>
      </c>
      <c r="D151" s="47" t="s">
        <v>1040</v>
      </c>
      <c r="E151" s="39" t="s">
        <v>1041</v>
      </c>
      <c r="F151" s="53"/>
    </row>
    <row r="152" spans="2:6" ht="62" customHeight="1" x14ac:dyDescent="0.2">
      <c r="B152" s="46">
        <v>3</v>
      </c>
      <c r="C152" s="2" t="s">
        <v>1042</v>
      </c>
      <c r="D152" s="47" t="s">
        <v>1043</v>
      </c>
      <c r="E152" s="39" t="s">
        <v>1044</v>
      </c>
      <c r="F152" s="53"/>
    </row>
    <row r="153" spans="2:6" ht="20" customHeight="1" x14ac:dyDescent="0.2">
      <c r="B153" s="75" t="s">
        <v>1045</v>
      </c>
      <c r="C153" s="75"/>
      <c r="D153" s="75"/>
      <c r="E153" s="75"/>
      <c r="F153" s="75"/>
    </row>
    <row r="154" spans="2:6" ht="73.5" customHeight="1" x14ac:dyDescent="0.2">
      <c r="B154" s="46">
        <v>1</v>
      </c>
      <c r="C154" s="2" t="s">
        <v>1046</v>
      </c>
      <c r="D154" s="47" t="s">
        <v>1047</v>
      </c>
      <c r="E154" s="39" t="s">
        <v>1048</v>
      </c>
      <c r="F154" s="53" t="s">
        <v>1049</v>
      </c>
    </row>
    <row r="155" spans="2:6" ht="55.5" customHeight="1" x14ac:dyDescent="0.2">
      <c r="B155" s="46">
        <v>2</v>
      </c>
      <c r="C155" s="2" t="s">
        <v>1050</v>
      </c>
      <c r="D155" s="47" t="s">
        <v>1051</v>
      </c>
      <c r="E155" s="39" t="s">
        <v>1052</v>
      </c>
      <c r="F155" s="53" t="s">
        <v>1053</v>
      </c>
    </row>
    <row r="156" spans="2:6" ht="42.75" customHeight="1" x14ac:dyDescent="0.2">
      <c r="B156" s="46">
        <v>3</v>
      </c>
      <c r="C156" s="2" t="s">
        <v>1054</v>
      </c>
      <c r="D156" s="47" t="s">
        <v>1055</v>
      </c>
      <c r="E156" s="39" t="s">
        <v>1056</v>
      </c>
      <c r="F156" s="53" t="s">
        <v>1057</v>
      </c>
    </row>
    <row r="157" spans="2:6" ht="55.5" customHeight="1" x14ac:dyDescent="0.2">
      <c r="B157" s="46">
        <v>4</v>
      </c>
      <c r="C157" s="2" t="s">
        <v>1058</v>
      </c>
      <c r="D157" s="47" t="s">
        <v>1059</v>
      </c>
      <c r="E157" s="39" t="s">
        <v>1060</v>
      </c>
      <c r="F157" s="53" t="s">
        <v>1061</v>
      </c>
    </row>
    <row r="158" spans="2:6" ht="29.75" customHeight="1" x14ac:dyDescent="0.2">
      <c r="B158" s="46">
        <v>5</v>
      </c>
      <c r="C158" s="2" t="s">
        <v>1062</v>
      </c>
      <c r="D158" s="48" t="s">
        <v>1063</v>
      </c>
      <c r="E158" s="39" t="s">
        <v>1064</v>
      </c>
      <c r="F158" s="53"/>
    </row>
    <row r="159" spans="2:6" ht="62" customHeight="1" x14ac:dyDescent="0.2">
      <c r="B159" s="46">
        <v>6</v>
      </c>
      <c r="C159" s="2" t="s">
        <v>1065</v>
      </c>
      <c r="D159" s="48" t="s">
        <v>1066</v>
      </c>
      <c r="E159" s="39" t="s">
        <v>1067</v>
      </c>
      <c r="F159" s="53" t="s">
        <v>1068</v>
      </c>
    </row>
    <row r="160" spans="2:6" ht="120" customHeight="1" x14ac:dyDescent="0.2">
      <c r="B160" s="46">
        <v>7</v>
      </c>
      <c r="C160" s="2" t="s">
        <v>1069</v>
      </c>
      <c r="D160" s="48" t="s">
        <v>1070</v>
      </c>
      <c r="E160" s="39" t="s">
        <v>1071</v>
      </c>
      <c r="F160" s="53"/>
    </row>
    <row r="161" spans="2:6" ht="62" customHeight="1" x14ac:dyDescent="0.2">
      <c r="B161" s="46">
        <v>8</v>
      </c>
      <c r="C161" s="2" t="s">
        <v>1072</v>
      </c>
      <c r="D161" s="48" t="s">
        <v>1073</v>
      </c>
      <c r="E161" s="39" t="s">
        <v>1074</v>
      </c>
      <c r="F161" s="53" t="s">
        <v>1075</v>
      </c>
    </row>
    <row r="162" spans="2:6" ht="29.75" customHeight="1" x14ac:dyDescent="0.2">
      <c r="B162" s="46">
        <v>9</v>
      </c>
      <c r="C162" s="2" t="s">
        <v>1076</v>
      </c>
      <c r="D162" s="48" t="s">
        <v>1077</v>
      </c>
      <c r="E162" s="39" t="s">
        <v>1078</v>
      </c>
      <c r="F162" s="53"/>
    </row>
    <row r="163" spans="2:6" ht="131.5" customHeight="1" x14ac:dyDescent="0.2">
      <c r="B163" s="46">
        <v>10</v>
      </c>
      <c r="C163" s="2" t="s">
        <v>1079</v>
      </c>
      <c r="D163" s="48" t="s">
        <v>1080</v>
      </c>
      <c r="E163" s="39" t="s">
        <v>1081</v>
      </c>
      <c r="F163" s="53"/>
    </row>
    <row r="164" spans="2:6" ht="143.25" customHeight="1" x14ac:dyDescent="0.2">
      <c r="B164" s="46">
        <v>11</v>
      </c>
      <c r="C164" s="2" t="s">
        <v>1082</v>
      </c>
      <c r="D164" s="48" t="s">
        <v>1083</v>
      </c>
      <c r="E164" s="39" t="s">
        <v>1084</v>
      </c>
      <c r="F164" s="53"/>
    </row>
    <row r="165" spans="2:6" ht="120" customHeight="1" x14ac:dyDescent="0.2">
      <c r="B165" s="46">
        <v>12</v>
      </c>
      <c r="C165" s="2" t="s">
        <v>1085</v>
      </c>
      <c r="D165" s="47" t="s">
        <v>1086</v>
      </c>
      <c r="E165" s="39" t="s">
        <v>1087</v>
      </c>
      <c r="F165" s="53" t="s">
        <v>1088</v>
      </c>
    </row>
    <row r="166" spans="2:6" ht="73.5" customHeight="1" x14ac:dyDescent="0.2">
      <c r="B166" s="46">
        <v>13</v>
      </c>
      <c r="C166" s="2" t="s">
        <v>1089</v>
      </c>
      <c r="D166" s="47" t="s">
        <v>1090</v>
      </c>
      <c r="E166" s="39" t="s">
        <v>1091</v>
      </c>
      <c r="F166" s="53"/>
    </row>
    <row r="167" spans="2:6" ht="73.5" customHeight="1" x14ac:dyDescent="0.2">
      <c r="B167" s="46">
        <v>14</v>
      </c>
      <c r="C167" s="2" t="s">
        <v>1092</v>
      </c>
      <c r="D167" s="48" t="s">
        <v>1093</v>
      </c>
      <c r="E167" s="39" t="s">
        <v>1094</v>
      </c>
      <c r="F167" s="53"/>
    </row>
    <row r="168" spans="2:6" ht="73.5" customHeight="1" x14ac:dyDescent="0.2">
      <c r="B168" s="46">
        <v>15</v>
      </c>
      <c r="C168" s="2" t="s">
        <v>1095</v>
      </c>
      <c r="D168" s="48" t="s">
        <v>1096</v>
      </c>
      <c r="E168" s="39" t="s">
        <v>1097</v>
      </c>
      <c r="F168" s="53" t="s">
        <v>1098</v>
      </c>
    </row>
    <row r="169" spans="2:6" ht="50.5" customHeight="1" x14ac:dyDescent="0.2">
      <c r="B169" s="46">
        <v>16</v>
      </c>
      <c r="C169" s="2" t="s">
        <v>1099</v>
      </c>
      <c r="D169" s="48" t="s">
        <v>1100</v>
      </c>
      <c r="E169" s="39" t="s">
        <v>1101</v>
      </c>
      <c r="F169" s="53"/>
    </row>
    <row r="170" spans="2:6" ht="85.25" customHeight="1" x14ac:dyDescent="0.2">
      <c r="B170" s="46">
        <v>17</v>
      </c>
      <c r="C170" s="2" t="s">
        <v>1102</v>
      </c>
      <c r="D170" s="48" t="s">
        <v>1103</v>
      </c>
      <c r="E170" s="39" t="s">
        <v>1104</v>
      </c>
      <c r="F170" s="53"/>
    </row>
    <row r="171" spans="2:6" ht="27.25" customHeight="1" x14ac:dyDescent="0.2">
      <c r="B171" s="46">
        <v>18</v>
      </c>
      <c r="C171" s="2" t="s">
        <v>1105</v>
      </c>
      <c r="D171" s="47" t="s">
        <v>1106</v>
      </c>
      <c r="E171" s="39" t="s">
        <v>1107</v>
      </c>
      <c r="F171" s="53"/>
    </row>
    <row r="172" spans="2:6" ht="29.75" customHeight="1" x14ac:dyDescent="0.2">
      <c r="B172" s="46">
        <v>19</v>
      </c>
      <c r="C172" s="2" t="s">
        <v>1108</v>
      </c>
      <c r="D172" s="47" t="s">
        <v>1109</v>
      </c>
      <c r="E172" s="39" t="s">
        <v>1110</v>
      </c>
      <c r="F172" s="53"/>
    </row>
    <row r="173" spans="2:6" ht="85.25" customHeight="1" x14ac:dyDescent="0.2">
      <c r="B173" s="46">
        <v>20</v>
      </c>
      <c r="C173" s="2" t="s">
        <v>1111</v>
      </c>
      <c r="D173" s="48" t="s">
        <v>1112</v>
      </c>
      <c r="E173" s="39" t="s">
        <v>1113</v>
      </c>
      <c r="F173" s="53" t="s">
        <v>1114</v>
      </c>
    </row>
    <row r="174" spans="2:6" ht="55.5" customHeight="1" x14ac:dyDescent="0.2">
      <c r="B174" s="46">
        <v>21</v>
      </c>
      <c r="C174" s="2" t="s">
        <v>1115</v>
      </c>
      <c r="D174" s="47" t="s">
        <v>1116</v>
      </c>
      <c r="E174" s="39" t="s">
        <v>1117</v>
      </c>
      <c r="F174" s="53" t="s">
        <v>1118</v>
      </c>
    </row>
    <row r="175" spans="2:6" ht="62" customHeight="1" x14ac:dyDescent="0.2">
      <c r="B175" s="46">
        <v>22</v>
      </c>
      <c r="C175" s="2" t="s">
        <v>1119</v>
      </c>
      <c r="D175" s="47" t="s">
        <v>1120</v>
      </c>
      <c r="E175" s="39" t="s">
        <v>1121</v>
      </c>
      <c r="F175" s="53" t="s">
        <v>1122</v>
      </c>
    </row>
    <row r="176" spans="2:6" ht="131.5" customHeight="1" x14ac:dyDescent="0.2">
      <c r="B176" s="46">
        <v>23</v>
      </c>
      <c r="C176" s="2" t="s">
        <v>1123</v>
      </c>
      <c r="D176" s="48" t="s">
        <v>1124</v>
      </c>
      <c r="E176" s="39" t="s">
        <v>1125</v>
      </c>
      <c r="F176" s="53"/>
    </row>
    <row r="177" spans="2:6" ht="120" customHeight="1" x14ac:dyDescent="0.2">
      <c r="B177" s="46">
        <v>24</v>
      </c>
      <c r="C177" s="2" t="s">
        <v>1126</v>
      </c>
      <c r="D177" s="48" t="s">
        <v>1127</v>
      </c>
      <c r="E177" s="39" t="s">
        <v>1128</v>
      </c>
      <c r="F177" s="53"/>
    </row>
    <row r="178" spans="2:6" ht="68.5" customHeight="1" x14ac:dyDescent="0.2">
      <c r="B178" s="46">
        <v>25</v>
      </c>
      <c r="C178" s="2" t="s">
        <v>1129</v>
      </c>
      <c r="D178" s="47" t="s">
        <v>1130</v>
      </c>
      <c r="E178" s="39" t="s">
        <v>1131</v>
      </c>
      <c r="F178" s="53" t="s">
        <v>1132</v>
      </c>
    </row>
    <row r="179" spans="2:6" ht="42.75" customHeight="1" x14ac:dyDescent="0.2">
      <c r="B179" s="46">
        <v>26</v>
      </c>
      <c r="C179" s="2" t="s">
        <v>1133</v>
      </c>
      <c r="D179" s="48" t="s">
        <v>1134</v>
      </c>
      <c r="E179" s="39" t="s">
        <v>1135</v>
      </c>
      <c r="F179" s="53" t="s">
        <v>1136</v>
      </c>
    </row>
    <row r="180" spans="2:6" ht="73.5" customHeight="1" x14ac:dyDescent="0.2">
      <c r="B180" s="46">
        <v>27</v>
      </c>
      <c r="C180" s="2" t="s">
        <v>1137</v>
      </c>
      <c r="D180" s="48" t="s">
        <v>1138</v>
      </c>
      <c r="E180" s="39" t="s">
        <v>1139</v>
      </c>
      <c r="F180" s="53"/>
    </row>
    <row r="181" spans="2:6" ht="62" customHeight="1" x14ac:dyDescent="0.2">
      <c r="B181" s="46">
        <v>28</v>
      </c>
      <c r="C181" s="2" t="s">
        <v>1140</v>
      </c>
      <c r="D181" s="48" t="s">
        <v>1141</v>
      </c>
      <c r="E181" s="39" t="s">
        <v>1142</v>
      </c>
      <c r="F181" s="53"/>
    </row>
    <row r="182" spans="2:6" ht="247.5" customHeight="1" x14ac:dyDescent="0.2">
      <c r="B182" s="46">
        <v>29</v>
      </c>
      <c r="C182" s="2" t="s">
        <v>1143</v>
      </c>
      <c r="D182" s="48" t="s">
        <v>1144</v>
      </c>
      <c r="E182" s="39" t="s">
        <v>1145</v>
      </c>
      <c r="F182" s="53"/>
    </row>
    <row r="183" spans="2:6" ht="62" customHeight="1" x14ac:dyDescent="0.2">
      <c r="B183" s="46">
        <v>30</v>
      </c>
      <c r="C183" s="2" t="s">
        <v>1146</v>
      </c>
      <c r="D183" s="47" t="s">
        <v>1147</v>
      </c>
      <c r="E183" s="39" t="s">
        <v>1148</v>
      </c>
      <c r="F183" s="53"/>
    </row>
    <row r="184" spans="2:6" ht="154.75" customHeight="1" x14ac:dyDescent="0.2">
      <c r="B184" s="46">
        <v>31</v>
      </c>
      <c r="C184" s="2" t="s">
        <v>1149</v>
      </c>
      <c r="D184" s="48" t="s">
        <v>1150</v>
      </c>
      <c r="E184" s="39" t="s">
        <v>1151</v>
      </c>
      <c r="F184" s="53"/>
    </row>
    <row r="185" spans="2:6" ht="62" customHeight="1" x14ac:dyDescent="0.2">
      <c r="B185" s="46">
        <v>32</v>
      </c>
      <c r="C185" s="2" t="s">
        <v>1152</v>
      </c>
      <c r="D185" s="48" t="s">
        <v>1153</v>
      </c>
      <c r="E185" s="39" t="s">
        <v>1154</v>
      </c>
      <c r="F185" s="53"/>
    </row>
    <row r="186" spans="2:6" ht="73.5" customHeight="1" x14ac:dyDescent="0.2">
      <c r="B186" s="46">
        <v>33</v>
      </c>
      <c r="C186" s="2" t="s">
        <v>1155</v>
      </c>
      <c r="D186" s="47" t="s">
        <v>1156</v>
      </c>
      <c r="E186" s="39" t="s">
        <v>1157</v>
      </c>
      <c r="F186" s="53"/>
    </row>
    <row r="187" spans="2:6" ht="50.5" customHeight="1" x14ac:dyDescent="0.2">
      <c r="B187" s="46">
        <v>34</v>
      </c>
      <c r="C187" s="2" t="s">
        <v>1158</v>
      </c>
      <c r="D187" s="48" t="s">
        <v>1159</v>
      </c>
      <c r="E187" s="39" t="s">
        <v>1160</v>
      </c>
      <c r="F187" s="53"/>
    </row>
    <row r="188" spans="2:6" ht="29.75" customHeight="1" x14ac:dyDescent="0.2">
      <c r="B188" s="46">
        <v>35</v>
      </c>
      <c r="C188" s="2" t="s">
        <v>1161</v>
      </c>
      <c r="D188" s="47" t="s">
        <v>1162</v>
      </c>
      <c r="E188" s="39" t="s">
        <v>1163</v>
      </c>
      <c r="F188" s="53"/>
    </row>
    <row r="189" spans="2:6" ht="96.75" customHeight="1" x14ac:dyDescent="0.2">
      <c r="B189" s="46">
        <v>36</v>
      </c>
      <c r="C189" s="2" t="s">
        <v>1164</v>
      </c>
      <c r="D189" s="48" t="s">
        <v>1165</v>
      </c>
      <c r="E189" s="39" t="s">
        <v>1166</v>
      </c>
      <c r="F189" s="53"/>
    </row>
    <row r="190" spans="2:6" ht="108.5" customHeight="1" x14ac:dyDescent="0.2">
      <c r="B190" s="46">
        <v>37</v>
      </c>
      <c r="C190" s="2" t="s">
        <v>1167</v>
      </c>
      <c r="D190" s="47" t="s">
        <v>1168</v>
      </c>
      <c r="E190" s="39" t="s">
        <v>1169</v>
      </c>
      <c r="F190" s="53"/>
    </row>
    <row r="191" spans="2:6" ht="96.75" customHeight="1" x14ac:dyDescent="0.2">
      <c r="B191" s="46">
        <v>38</v>
      </c>
      <c r="C191" s="2" t="s">
        <v>1170</v>
      </c>
      <c r="D191" s="48" t="s">
        <v>1171</v>
      </c>
      <c r="E191" s="39" t="s">
        <v>1172</v>
      </c>
      <c r="F191" s="53"/>
    </row>
    <row r="192" spans="2:6" ht="85.25" customHeight="1" x14ac:dyDescent="0.2">
      <c r="B192" s="46">
        <v>39</v>
      </c>
      <c r="C192" s="2" t="s">
        <v>1173</v>
      </c>
      <c r="D192" s="48" t="s">
        <v>1174</v>
      </c>
      <c r="E192" s="39" t="s">
        <v>1175</v>
      </c>
      <c r="F192" s="53"/>
    </row>
    <row r="193" spans="2:6" ht="96.75" customHeight="1" x14ac:dyDescent="0.2">
      <c r="B193" s="46">
        <v>40</v>
      </c>
      <c r="C193" s="2" t="s">
        <v>1176</v>
      </c>
      <c r="D193" s="48" t="s">
        <v>1177</v>
      </c>
      <c r="E193" s="39" t="s">
        <v>1178</v>
      </c>
      <c r="F193" s="53"/>
    </row>
    <row r="194" spans="2:6" ht="62" customHeight="1" x14ac:dyDescent="0.2">
      <c r="B194" s="46">
        <v>41</v>
      </c>
      <c r="C194" s="2" t="s">
        <v>1179</v>
      </c>
      <c r="D194" s="47" t="s">
        <v>1180</v>
      </c>
      <c r="E194" s="39" t="s">
        <v>1181</v>
      </c>
      <c r="F194" s="53"/>
    </row>
    <row r="195" spans="2:6" ht="178" customHeight="1" x14ac:dyDescent="0.2">
      <c r="B195" s="46">
        <v>42</v>
      </c>
      <c r="C195" s="2" t="s">
        <v>1182</v>
      </c>
      <c r="D195" s="48" t="s">
        <v>1183</v>
      </c>
      <c r="E195" s="39" t="s">
        <v>1184</v>
      </c>
      <c r="F195" s="53" t="s">
        <v>1185</v>
      </c>
    </row>
    <row r="196" spans="2:6" ht="20" customHeight="1" x14ac:dyDescent="0.2">
      <c r="B196" s="75" t="s">
        <v>1186</v>
      </c>
      <c r="C196" s="75"/>
      <c r="D196" s="75"/>
      <c r="E196" s="75"/>
      <c r="F196" s="75"/>
    </row>
    <row r="197" spans="2:6" ht="247.5" customHeight="1" x14ac:dyDescent="0.2">
      <c r="B197" s="46">
        <v>1</v>
      </c>
      <c r="C197" s="2" t="s">
        <v>1187</v>
      </c>
      <c r="D197" s="47" t="s">
        <v>1188</v>
      </c>
      <c r="E197" s="39" t="s">
        <v>1189</v>
      </c>
      <c r="F197" s="53"/>
    </row>
    <row r="198" spans="2:6" ht="38.75" customHeight="1" x14ac:dyDescent="0.2">
      <c r="B198" s="46">
        <v>2</v>
      </c>
      <c r="C198" s="2" t="s">
        <v>1190</v>
      </c>
      <c r="D198" s="49" t="s">
        <v>1191</v>
      </c>
      <c r="E198" s="39" t="s">
        <v>1192</v>
      </c>
      <c r="F198" s="53" t="s">
        <v>1193</v>
      </c>
    </row>
    <row r="199" spans="2:6" ht="62" customHeight="1" x14ac:dyDescent="0.2">
      <c r="B199" s="46">
        <v>3</v>
      </c>
      <c r="C199" s="2" t="s">
        <v>1194</v>
      </c>
      <c r="D199" s="47" t="s">
        <v>1195</v>
      </c>
      <c r="E199" s="39" t="s">
        <v>1196</v>
      </c>
      <c r="F199" s="53"/>
    </row>
    <row r="200" spans="2:6" ht="62" customHeight="1" x14ac:dyDescent="0.2">
      <c r="B200" s="46">
        <v>4</v>
      </c>
      <c r="C200" s="2" t="s">
        <v>1197</v>
      </c>
      <c r="D200" s="47" t="s">
        <v>1198</v>
      </c>
      <c r="E200" s="39" t="s">
        <v>1199</v>
      </c>
      <c r="F200" s="53"/>
    </row>
  </sheetData>
  <mergeCells count="15">
    <mergeCell ref="B2:F2"/>
    <mergeCell ref="B3:F3"/>
    <mergeCell ref="B5:F5"/>
    <mergeCell ref="D6:F6"/>
    <mergeCell ref="D7:F7"/>
    <mergeCell ref="D8:F8"/>
    <mergeCell ref="B9:F9"/>
    <mergeCell ref="B11:F11"/>
    <mergeCell ref="B67:F67"/>
    <mergeCell ref="B73:F73"/>
    <mergeCell ref="B105:F105"/>
    <mergeCell ref="B115:F115"/>
    <mergeCell ref="B149:F149"/>
    <mergeCell ref="B153:F153"/>
    <mergeCell ref="B196:F196"/>
  </mergeCells>
  <hyperlinks>
    <hyperlink ref="B12" location="Ischemi!C35" tooltip="Gå till Ischemi, rad 35" display="1" xr:uid="{00000000-0004-0000-0900-000000000000}"/>
    <hyperlink ref="B13" location="Ischemi!C36" tooltip="Gå till Ischemi, rad 36" display="2" xr:uid="{00000000-0004-0000-0900-000001000000}"/>
    <hyperlink ref="B14" location="Ischemi!C37" tooltip="Gå till Ischemi, rad 37" display="3" xr:uid="{00000000-0004-0000-0900-000002000000}"/>
    <hyperlink ref="B15" location="Ischemi!C38" tooltip="Gå till Ischemi, rad 38" display="4" xr:uid="{00000000-0004-0000-0900-000003000000}"/>
    <hyperlink ref="B16" location="Ischemi!C39" tooltip="Gå till Ischemi, rad 39" display="5" xr:uid="{00000000-0004-0000-0900-000004000000}"/>
    <hyperlink ref="B17" location="Ischemi!C40" tooltip="Gå till Ischemi, rad 40" display="6" xr:uid="{00000000-0004-0000-0900-000005000000}"/>
    <hyperlink ref="B18" location="Ischemi!C41" tooltip="Gå till Ischemi, rad 41" display="7" xr:uid="{00000000-0004-0000-0900-000006000000}"/>
    <hyperlink ref="B19" location="Ischemi!C42" tooltip="Gå till Ischemi, rad 42" display="8" xr:uid="{00000000-0004-0000-0900-000007000000}"/>
    <hyperlink ref="B20" location="Ischemi!C43" tooltip="Gå till Ischemi, rad 43" display="9" xr:uid="{00000000-0004-0000-0900-000008000000}"/>
    <hyperlink ref="B21" location="Ischemi!C44" tooltip="Gå till Ischemi, rad 44" display="10" xr:uid="{00000000-0004-0000-0900-000009000000}"/>
    <hyperlink ref="B22" location="Ischemi!C45" tooltip="Gå till Ischemi, rad 45" display="11" xr:uid="{00000000-0004-0000-0900-00000A000000}"/>
    <hyperlink ref="B23" location="Ischemi!C47" tooltip="Gå till Ischemi, rad 47" display="12" xr:uid="{00000000-0004-0000-0900-00000B000000}"/>
    <hyperlink ref="B24" location="Ischemi!C48" tooltip="Gå till Ischemi, rad 48" display="13" xr:uid="{00000000-0004-0000-0900-00000C000000}"/>
    <hyperlink ref="B25" location="Ischemi!C49" tooltip="Gå till Ischemi, rad 49" display="14" xr:uid="{00000000-0004-0000-0900-00000D000000}"/>
    <hyperlink ref="B26" location="Ischemi!C50" tooltip="Gå till Ischemi, rad 50" display="15" xr:uid="{00000000-0004-0000-0900-00000E000000}"/>
    <hyperlink ref="B27" location="Ischemi!C51" tooltip="Gå till Ischemi, rad 51" display="16" xr:uid="{00000000-0004-0000-0900-00000F000000}"/>
    <hyperlink ref="B28" location="Ischemi!C52" tooltip="Gå till Ischemi, rad 52" display="17" xr:uid="{00000000-0004-0000-0900-000010000000}"/>
    <hyperlink ref="B29" location="Ischemi!C53" tooltip="Gå till Ischemi, rad 53" display="18" xr:uid="{00000000-0004-0000-0900-000011000000}"/>
    <hyperlink ref="B30" location="Ischemi!C54" tooltip="Gå till Ischemi, rad 54" display="19" xr:uid="{00000000-0004-0000-0900-000012000000}"/>
    <hyperlink ref="B31" location="Ischemi!C55" tooltip="Gå till Ischemi, rad 55" display="20" xr:uid="{00000000-0004-0000-0900-000013000000}"/>
    <hyperlink ref="B32" location="Ischemi!C56" tooltip="Gå till Ischemi, rad 56" display="21" xr:uid="{00000000-0004-0000-0900-000014000000}"/>
    <hyperlink ref="B33" location="Ischemi!C57" tooltip="Gå till Ischemi, rad 57" display="22" xr:uid="{00000000-0004-0000-0900-000015000000}"/>
    <hyperlink ref="B34" location="Ischemi!C58" tooltip="Gå till Ischemi, rad 58" display="23" xr:uid="{00000000-0004-0000-0900-000016000000}"/>
    <hyperlink ref="B35" location="Ischemi!C59" tooltip="Gå till Ischemi, rad 59" display="24" xr:uid="{00000000-0004-0000-0900-000017000000}"/>
    <hyperlink ref="B36" location="Ischemi!C61" tooltip="Gå till Ischemi, rad 61" display="25" xr:uid="{00000000-0004-0000-0900-000018000000}"/>
    <hyperlink ref="B37" location="Ischemi!C62" tooltip="Gå till Ischemi, rad 62" display="26" xr:uid="{00000000-0004-0000-0900-000019000000}"/>
    <hyperlink ref="B38" location="Ischemi!C63" tooltip="Gå till Ischemi, rad 63" display="27" xr:uid="{00000000-0004-0000-0900-00001A000000}"/>
    <hyperlink ref="B39" location="Ischemi!C64" tooltip="Gå till Ischemi, rad 64" display="28" xr:uid="{00000000-0004-0000-0900-00001B000000}"/>
    <hyperlink ref="B40" location="Ischemi!C65" tooltip="Gå till Ischemi, rad 65" display="29" xr:uid="{00000000-0004-0000-0900-00001C000000}"/>
    <hyperlink ref="B41" location="Ischemi!C66" tooltip="Gå till Ischemi, rad 66" display="30" xr:uid="{00000000-0004-0000-0900-00001D000000}"/>
    <hyperlink ref="B42" location="Ischemi!C67" tooltip="Gå till Ischemi, rad 67" display="31" xr:uid="{00000000-0004-0000-0900-00001E000000}"/>
    <hyperlink ref="B43" location="Ischemi!C68" tooltip="Gå till Ischemi, rad 68" display="32" xr:uid="{00000000-0004-0000-0900-00001F000000}"/>
    <hyperlink ref="B44" location="Ischemi!C70" tooltip="Gå till Ischemi, rad 70" display="33" xr:uid="{00000000-0004-0000-0900-000020000000}"/>
    <hyperlink ref="B45" location="Ischemi!C71" tooltip="Gå till Ischemi, rad 71" display="34" xr:uid="{00000000-0004-0000-0900-000021000000}"/>
    <hyperlink ref="B46" location="Ischemi!C72" tooltip="Gå till Ischemi, rad 72" display="35" xr:uid="{00000000-0004-0000-0900-000022000000}"/>
    <hyperlink ref="B47" location="Ischemi!C73" tooltip="Gå till Ischemi, rad 73" display="36" xr:uid="{00000000-0004-0000-0900-000023000000}"/>
    <hyperlink ref="B48" location="Ischemi!C74" tooltip="Gå till Ischemi, rad 74" display="37" xr:uid="{00000000-0004-0000-0900-000024000000}"/>
    <hyperlink ref="B49" location="Ischemi!C75" tooltip="Gå till Ischemi, rad 75" display="38" xr:uid="{00000000-0004-0000-0900-000025000000}"/>
    <hyperlink ref="B50" location="Ischemi!C76" tooltip="Gå till Ischemi, rad 76" display="39" xr:uid="{00000000-0004-0000-0900-000026000000}"/>
    <hyperlink ref="B51" location="Ischemi!C77" tooltip="Gå till Ischemi, rad 77" display="40" xr:uid="{00000000-0004-0000-0900-000027000000}"/>
    <hyperlink ref="B52" location="Ischemi!C78" tooltip="Gå till Ischemi, rad 78" display="41" xr:uid="{00000000-0004-0000-0900-000028000000}"/>
    <hyperlink ref="B53" location="Ischemi!C79" tooltip="Gå till Ischemi, rad 79" display="42" xr:uid="{00000000-0004-0000-0900-000029000000}"/>
    <hyperlink ref="B54" location="Ischemi!C80" tooltip="Gå till Ischemi, rad 80" display="43" xr:uid="{00000000-0004-0000-0900-00002A000000}"/>
    <hyperlink ref="B55" location="Ischemi!C81" tooltip="Gå till Ischemi, rad 81" display="44" xr:uid="{00000000-0004-0000-0900-00002B000000}"/>
    <hyperlink ref="B56" location="Ischemi!C83" tooltip="Gå till Ischemi, rad 83" display="45" xr:uid="{00000000-0004-0000-0900-00002C000000}"/>
    <hyperlink ref="B57" location="Ischemi!C84" tooltip="Gå till Ischemi, rad 84" display="46" xr:uid="{00000000-0004-0000-0900-00002D000000}"/>
    <hyperlink ref="B58" location="Ischemi!C85" tooltip="Gå till Ischemi, rad 85" display="47" xr:uid="{00000000-0004-0000-0900-00002E000000}"/>
    <hyperlink ref="B59" location="Ischemi!C86" tooltip="Gå till Ischemi, rad 86" display="48" xr:uid="{00000000-0004-0000-0900-00002F000000}"/>
    <hyperlink ref="B60" location="Ischemi!C87" tooltip="Gå till Ischemi, rad 87" display="49" xr:uid="{00000000-0004-0000-0900-000030000000}"/>
    <hyperlink ref="B61" location="Ischemi!C88" tooltip="Gå till Ischemi, rad 88" display="50" xr:uid="{00000000-0004-0000-0900-000031000000}"/>
    <hyperlink ref="B62" location="Ischemi!C89" tooltip="Gå till Ischemi, rad 89" display="51" xr:uid="{00000000-0004-0000-0900-000032000000}"/>
    <hyperlink ref="B63" location="Ischemi!C91" tooltip="Gå till Ischemi, rad 91" display="52" xr:uid="{00000000-0004-0000-0900-000033000000}"/>
    <hyperlink ref="B64" location="Ischemi!C92" tooltip="Gå till Ischemi, rad 92" display="53" xr:uid="{00000000-0004-0000-0900-000034000000}"/>
    <hyperlink ref="B65" location="Ischemi!C93" tooltip="Gå till Ischemi, rad 93" display="54" xr:uid="{00000000-0004-0000-0900-000035000000}"/>
    <hyperlink ref="B66" location="Ischemi!C94" tooltip="Gå till Ischemi, rad 94" display="55" xr:uid="{00000000-0004-0000-0900-000036000000}"/>
    <hyperlink ref="B68" location="Ischemi!C25" tooltip="Gå till Ischemi, rad 25" display="1" xr:uid="{00000000-0004-0000-0900-000037000000}"/>
    <hyperlink ref="B69" location="Ischemi!C26" tooltip="Gå till Ischemi, rad 26" display="2" xr:uid="{00000000-0004-0000-0900-000038000000}"/>
    <hyperlink ref="B70" location="Ischemi!C27" tooltip="Gå till Ischemi, rad 27" display="3" xr:uid="{00000000-0004-0000-0900-000039000000}"/>
    <hyperlink ref="B71" location="Ischemi!C28" tooltip="Gå till Ischemi, rad 28" display="4" xr:uid="{00000000-0004-0000-0900-00003A000000}"/>
    <hyperlink ref="B72" location="Ischemi!C29" tooltip="Gå till Ischemi, rad 29" display="5" xr:uid="{00000000-0004-0000-0900-00003B000000}"/>
    <hyperlink ref="B74" location="HIA!C28" tooltip="Gå till HIA, rad 28" display="1" xr:uid="{00000000-0004-0000-0900-00003C000000}"/>
    <hyperlink ref="B75" location="HIA!C29" tooltip="Gå till HIA, rad 29" display="2" xr:uid="{00000000-0004-0000-0900-00003D000000}"/>
    <hyperlink ref="B76" location="HIA!C30" tooltip="Gå till HIA, rad 30" display="3" xr:uid="{00000000-0004-0000-0900-00003E000000}"/>
    <hyperlink ref="B77" location="HIA!C31" tooltip="Gå till HIA, rad 31" display="4" xr:uid="{00000000-0004-0000-0900-00003F000000}"/>
    <hyperlink ref="B78" location="HIA!C32" tooltip="Gå till HIA, rad 32" display="5" xr:uid="{00000000-0004-0000-0900-000040000000}"/>
    <hyperlink ref="B79" location="HIA!C33" tooltip="Gå till HIA, rad 33" display="6" xr:uid="{00000000-0004-0000-0900-000041000000}"/>
    <hyperlink ref="B80" location="HIA!C34" tooltip="Gå till HIA, rad 34" display="7" xr:uid="{00000000-0004-0000-0900-000042000000}"/>
    <hyperlink ref="B81" location="HIA!C35" tooltip="Gå till HIA, rad 35" display="8" xr:uid="{00000000-0004-0000-0900-000043000000}"/>
    <hyperlink ref="B82" location="HIA!C36" tooltip="Gå till HIA, rad 36" display="9" xr:uid="{00000000-0004-0000-0900-000044000000}"/>
    <hyperlink ref="B83" location="HIA!C37" tooltip="Gå till HIA, rad 37" display="10" xr:uid="{00000000-0004-0000-0900-000045000000}"/>
    <hyperlink ref="B84" location="HIA!C39" tooltip="Gå till HIA, rad 39" display="11" xr:uid="{00000000-0004-0000-0900-000046000000}"/>
    <hyperlink ref="B85" location="HIA!C40" tooltip="Gå till HIA, rad 40" display="12" xr:uid="{00000000-0004-0000-0900-000047000000}"/>
    <hyperlink ref="B86" location="HIA!C41" tooltip="Gå till HIA, rad 41" display="13" xr:uid="{00000000-0004-0000-0900-000048000000}"/>
    <hyperlink ref="B87" location="HIA!C42" tooltip="Gå till HIA, rad 42" display="14" xr:uid="{00000000-0004-0000-0900-000049000000}"/>
    <hyperlink ref="B88" location="HIA!C43" tooltip="Gå till HIA, rad 43" display="15" xr:uid="{00000000-0004-0000-0900-00004A000000}"/>
    <hyperlink ref="B89" location="HIA!C44" tooltip="Gå till HIA, rad 44" display="16" xr:uid="{00000000-0004-0000-0900-00004B000000}"/>
    <hyperlink ref="B90" location="HIA!C46" tooltip="Gå till HIA, rad 46" display="17" xr:uid="{00000000-0004-0000-0900-00004C000000}"/>
    <hyperlink ref="B91" location="HIA!C47" tooltip="Gå till HIA, rad 47" display="18" xr:uid="{00000000-0004-0000-0900-00004D000000}"/>
    <hyperlink ref="B92" location="HIA!C48" tooltip="Gå till HIA, rad 48" display="19" xr:uid="{00000000-0004-0000-0900-00004E000000}"/>
    <hyperlink ref="B93" location="HIA!C49" tooltip="Gå till HIA, rad 49" display="20" xr:uid="{00000000-0004-0000-0900-00004F000000}"/>
    <hyperlink ref="B94" location="HIA!C51" tooltip="Gå till HIA, rad 51" display="21" xr:uid="{00000000-0004-0000-0900-000050000000}"/>
    <hyperlink ref="B95" location="HIA!C52" tooltip="Gå till HIA, rad 52" display="22" xr:uid="{00000000-0004-0000-0900-000051000000}"/>
    <hyperlink ref="B96" location="HIA!C53" tooltip="Gå till HIA, rad 53" display="23" xr:uid="{00000000-0004-0000-0900-000052000000}"/>
    <hyperlink ref="B97" location="HIA!C54" tooltip="Gå till HIA, rad 54" display="24" xr:uid="{00000000-0004-0000-0900-000053000000}"/>
    <hyperlink ref="B98" location="HIA!C55" tooltip="Gå till HIA, rad 55" display="25" xr:uid="{00000000-0004-0000-0900-000054000000}"/>
    <hyperlink ref="B99" location="HIA!C56" tooltip="Gå till HIA, rad 56" display="26" xr:uid="{00000000-0004-0000-0900-000055000000}"/>
    <hyperlink ref="B100" location="HIA!C57" tooltip="Gå till HIA, rad 57" display="27" xr:uid="{00000000-0004-0000-0900-000056000000}"/>
    <hyperlink ref="B101" location="HIA!C58" tooltip="Gå till HIA, rad 58" display="28" xr:uid="{00000000-0004-0000-0900-000057000000}"/>
    <hyperlink ref="B102" location="HIA!C59" tooltip="Gå till HIA, rad 59" display="29" xr:uid="{00000000-0004-0000-0900-000058000000}"/>
    <hyperlink ref="B103" location="HIA!C60" tooltip="Gå till HIA, rad 60" display="30" xr:uid="{00000000-0004-0000-0900-000059000000}"/>
    <hyperlink ref="B104" location="HIA!C61" tooltip="Gå till HIA, rad 61" display="31" xr:uid="{00000000-0004-0000-0900-00005A000000}"/>
    <hyperlink ref="B106" location="HIA!C14" tooltip="Gå till HIA, rad 14" display="1" xr:uid="{00000000-0004-0000-0900-00005B000000}"/>
    <hyperlink ref="B107" location="HIA!C15" tooltip="Gå till HIA, rad 15" display="2" xr:uid="{00000000-0004-0000-0900-00005C000000}"/>
    <hyperlink ref="B108" location="HIA!C16" tooltip="Gå till HIA, rad 16" display="3" xr:uid="{00000000-0004-0000-0900-00005D000000}"/>
    <hyperlink ref="B109" location="HIA!C17" tooltip="Gå till HIA, rad 17" display="4" xr:uid="{00000000-0004-0000-0900-00005E000000}"/>
    <hyperlink ref="B110" location="HIA!C18" tooltip="Gå till HIA, rad 18" display="5" xr:uid="{00000000-0004-0000-0900-00005F000000}"/>
    <hyperlink ref="B111" location="HIA!C19" tooltip="Gå till HIA, rad 19" display="6" xr:uid="{00000000-0004-0000-0900-000060000000}"/>
    <hyperlink ref="B112" location="HIA!C20" tooltip="Gå till HIA, rad 20" display="7" xr:uid="{00000000-0004-0000-0900-000061000000}"/>
    <hyperlink ref="B113" location="HIA!C21" tooltip="Gå till HIA, rad 21" display="8" xr:uid="{00000000-0004-0000-0900-000062000000}"/>
    <hyperlink ref="B114" location="HIA!C22" tooltip="Gå till HIA, rad 22" display="9" xr:uid="{00000000-0004-0000-0900-000063000000}"/>
    <hyperlink ref="B116" location="'Hjärtsvikt &amp; klaff'!C32" tooltip="Gå till Hjärtsvikt &amp; klaff, rad 32" display="1" xr:uid="{00000000-0004-0000-0900-000064000000}"/>
    <hyperlink ref="B117" location="'Hjärtsvikt &amp; klaff'!C33" tooltip="Gå till Hjärtsvikt &amp; klaff, rad 33" display="2" xr:uid="{00000000-0004-0000-0900-000065000000}"/>
    <hyperlink ref="B118" location="'Hjärtsvikt &amp; klaff'!C34" tooltip="Gå till Hjärtsvikt &amp; klaff, rad 34" display="3" xr:uid="{00000000-0004-0000-0900-000066000000}"/>
    <hyperlink ref="B119" location="'Hjärtsvikt &amp; klaff'!C35" tooltip="Gå till Hjärtsvikt &amp; klaff, rad 35" display="4" xr:uid="{00000000-0004-0000-0900-000067000000}"/>
    <hyperlink ref="B120" location="'Hjärtsvikt &amp; klaff'!C36" tooltip="Gå till Hjärtsvikt &amp; klaff, rad 36" display="5" xr:uid="{00000000-0004-0000-0900-000068000000}"/>
    <hyperlink ref="B121" location="'Hjärtsvikt &amp; klaff'!C37" tooltip="Gå till Hjärtsvikt &amp; klaff, rad 37" display="6" xr:uid="{00000000-0004-0000-0900-000069000000}"/>
    <hyperlink ref="B122" location="'Hjärtsvikt &amp; klaff'!C38" tooltip="Gå till Hjärtsvikt &amp; klaff, rad 38" display="7" xr:uid="{00000000-0004-0000-0900-00006A000000}"/>
    <hyperlink ref="B123" location="'Hjärtsvikt &amp; klaff'!C39" tooltip="Gå till Hjärtsvikt &amp; klaff, rad 39" display="8" xr:uid="{00000000-0004-0000-0900-00006B000000}"/>
    <hyperlink ref="B124" location="'Hjärtsvikt &amp; klaff'!C40" tooltip="Gå till Hjärtsvikt &amp; klaff, rad 40" display="9" xr:uid="{00000000-0004-0000-0900-00006C000000}"/>
    <hyperlink ref="B125" location="'Hjärtsvikt &amp; klaff'!C41" tooltip="Gå till Hjärtsvikt &amp; klaff, rad 41" display="10" xr:uid="{00000000-0004-0000-0900-00006D000000}"/>
    <hyperlink ref="B126" location="'Hjärtsvikt &amp; klaff'!C43" tooltip="Gå till Hjärtsvikt &amp; klaff, rad 43" display="11" xr:uid="{00000000-0004-0000-0900-00006E000000}"/>
    <hyperlink ref="B127" location="'Hjärtsvikt &amp; klaff'!C44" tooltip="Gå till Hjärtsvikt &amp; klaff, rad 44" display="12" xr:uid="{00000000-0004-0000-0900-00006F000000}"/>
    <hyperlink ref="B128" location="'Hjärtsvikt &amp; klaff'!C45" tooltip="Gå till Hjärtsvikt &amp; klaff, rad 45" display="13" xr:uid="{00000000-0004-0000-0900-000070000000}"/>
    <hyperlink ref="B129" location="'Hjärtsvikt &amp; klaff'!C46" tooltip="Gå till Hjärtsvikt &amp; klaff, rad 46" display="14" xr:uid="{00000000-0004-0000-0900-000071000000}"/>
    <hyperlink ref="B130" location="'Hjärtsvikt &amp; klaff'!C47" tooltip="Gå till Hjärtsvikt &amp; klaff, rad 47" display="15" xr:uid="{00000000-0004-0000-0900-000072000000}"/>
    <hyperlink ref="B131" location="'Hjärtsvikt &amp; klaff'!C49" tooltip="Gå till Hjärtsvikt &amp; klaff, rad 49" display="16" xr:uid="{00000000-0004-0000-0900-000073000000}"/>
    <hyperlink ref="B132" location="'Hjärtsvikt &amp; klaff'!C50" tooltip="Gå till Hjärtsvikt &amp; klaff, rad 50" display="17" xr:uid="{00000000-0004-0000-0900-000074000000}"/>
    <hyperlink ref="B133" location="'Hjärtsvikt &amp; klaff'!C51" tooltip="Gå till Hjärtsvikt &amp; klaff, rad 51" display="18" xr:uid="{00000000-0004-0000-0900-000075000000}"/>
    <hyperlink ref="B134" location="'Hjärtsvikt &amp; klaff'!C52" tooltip="Gå till Hjärtsvikt &amp; klaff, rad 52" display="19" xr:uid="{00000000-0004-0000-0900-000076000000}"/>
    <hyperlink ref="B135" location="'Hjärtsvikt &amp; klaff'!C53" tooltip="Gå till Hjärtsvikt &amp; klaff, rad 53" display="20" xr:uid="{00000000-0004-0000-0900-000077000000}"/>
    <hyperlink ref="B136" location="'Hjärtsvikt &amp; klaff'!C55" tooltip="Gå till Hjärtsvikt &amp; klaff, rad 55" display="21" xr:uid="{00000000-0004-0000-0900-000078000000}"/>
    <hyperlink ref="B137" location="'Hjärtsvikt &amp; klaff'!C56" tooltip="Gå till Hjärtsvikt &amp; klaff, rad 56" display="22" xr:uid="{00000000-0004-0000-0900-000079000000}"/>
    <hyperlink ref="B138" location="'Hjärtsvikt &amp; klaff'!C57" tooltip="Gå till Hjärtsvikt &amp; klaff, rad 57" display="23" xr:uid="{00000000-0004-0000-0900-00007A000000}"/>
    <hyperlink ref="B139" location="'Hjärtsvikt &amp; klaff'!C58" tooltip="Gå till Hjärtsvikt &amp; klaff, rad 58" display="24" xr:uid="{00000000-0004-0000-0900-00007B000000}"/>
    <hyperlink ref="B140" location="'Hjärtsvikt &amp; klaff'!C59" tooltip="Gå till Hjärtsvikt &amp; klaff, rad 59" display="25" xr:uid="{00000000-0004-0000-0900-00007C000000}"/>
    <hyperlink ref="B141" location="'Hjärtsvikt &amp; klaff'!C60" tooltip="Gå till Hjärtsvikt &amp; klaff, rad 60" display="26" xr:uid="{00000000-0004-0000-0900-00007D000000}"/>
    <hyperlink ref="B142" location="'Hjärtsvikt &amp; klaff'!C61" tooltip="Gå till Hjärtsvikt &amp; klaff, rad 61" display="27" xr:uid="{00000000-0004-0000-0900-00007E000000}"/>
    <hyperlink ref="B143" location="'Hjärtsvikt &amp; klaff'!C62" tooltip="Gå till Hjärtsvikt &amp; klaff, rad 62" display="28" xr:uid="{00000000-0004-0000-0900-00007F000000}"/>
    <hyperlink ref="B144" location="'Hjärtsvikt &amp; klaff'!C64" tooltip="Gå till Hjärtsvikt &amp; klaff, rad 64" display="29" xr:uid="{00000000-0004-0000-0900-000080000000}"/>
    <hyperlink ref="B145" location="'Hjärtsvikt &amp; klaff'!C65" tooltip="Gå till Hjärtsvikt &amp; klaff, rad 65" display="30" xr:uid="{00000000-0004-0000-0900-000081000000}"/>
    <hyperlink ref="B146" location="'Hjärtsvikt &amp; klaff'!C66" tooltip="Gå till Hjärtsvikt &amp; klaff, rad 66" display="31" xr:uid="{00000000-0004-0000-0900-000082000000}"/>
    <hyperlink ref="B147" location="'Hjärtsvikt &amp; klaff'!C67" tooltip="Gå till Hjärtsvikt &amp; klaff, rad 67" display="32" xr:uid="{00000000-0004-0000-0900-000083000000}"/>
    <hyperlink ref="B148" location="'Hjärtsvikt &amp; klaff'!C68" tooltip="Gå till Hjärtsvikt &amp; klaff, rad 68" display="33" xr:uid="{00000000-0004-0000-0900-000084000000}"/>
    <hyperlink ref="B150" location="'Hjärtsvikt &amp; klaff'!C24" tooltip="Gå till Hjärtsvikt &amp; klaff, rad 24" display="1" xr:uid="{00000000-0004-0000-0900-000085000000}"/>
    <hyperlink ref="B151" location="'Hjärtsvikt &amp; klaff'!C25" tooltip="Gå till Hjärtsvikt &amp; klaff, rad 25" display="2" xr:uid="{00000000-0004-0000-0900-000086000000}"/>
    <hyperlink ref="B152" location="'Hjärtsvikt &amp; klaff'!C26" tooltip="Gå till Hjärtsvikt &amp; klaff, rad 26" display="3" xr:uid="{00000000-0004-0000-0900-000087000000}"/>
    <hyperlink ref="B154" location="Arytmi!C33" tooltip="Gå till Arytmi, rad 33" display="1" xr:uid="{00000000-0004-0000-0900-000088000000}"/>
    <hyperlink ref="B155" location="Arytmi!C34" tooltip="Gå till Arytmi, rad 34" display="2" xr:uid="{00000000-0004-0000-0900-000089000000}"/>
    <hyperlink ref="B156" location="Arytmi!C35" tooltip="Gå till Arytmi, rad 35" display="3" xr:uid="{00000000-0004-0000-0900-00008A000000}"/>
    <hyperlink ref="B157" location="Arytmi!C36" tooltip="Gå till Arytmi, rad 36" display="4" xr:uid="{00000000-0004-0000-0900-00008B000000}"/>
    <hyperlink ref="B158" location="Arytmi!C37" tooltip="Gå till Arytmi, rad 37" display="5" xr:uid="{00000000-0004-0000-0900-00008C000000}"/>
    <hyperlink ref="B159" location="Arytmi!C38" tooltip="Gå till Arytmi, rad 38" display="6" xr:uid="{00000000-0004-0000-0900-00008D000000}"/>
    <hyperlink ref="B160" location="Arytmi!C39" tooltip="Gå till Arytmi, rad 39" display="7" xr:uid="{00000000-0004-0000-0900-00008E000000}"/>
    <hyperlink ref="B161" location="Arytmi!C40" tooltip="Gå till Arytmi, rad 40" display="8" xr:uid="{00000000-0004-0000-0900-00008F000000}"/>
    <hyperlink ref="B162" location="Arytmi!C41" tooltip="Gå till Arytmi, rad 41" display="9" xr:uid="{00000000-0004-0000-0900-000090000000}"/>
    <hyperlink ref="B163" location="Arytmi!C42" tooltip="Gå till Arytmi, rad 42" display="10" xr:uid="{00000000-0004-0000-0900-000091000000}"/>
    <hyperlink ref="B164" location="Arytmi!C43" tooltip="Gå till Arytmi, rad 43" display="11" xr:uid="{00000000-0004-0000-0900-000092000000}"/>
    <hyperlink ref="B165" location="Arytmi!C45" tooltip="Gå till Arytmi, rad 45" display="12" xr:uid="{00000000-0004-0000-0900-000093000000}"/>
    <hyperlink ref="B166" location="Arytmi!C46" tooltip="Gå till Arytmi, rad 46" display="13" xr:uid="{00000000-0004-0000-0900-000094000000}"/>
    <hyperlink ref="B167" location="Arytmi!C47" tooltip="Gå till Arytmi, rad 47" display="14" xr:uid="{00000000-0004-0000-0900-000095000000}"/>
    <hyperlink ref="B168" location="Arytmi!C48" tooltip="Gå till Arytmi, rad 48" display="15" xr:uid="{00000000-0004-0000-0900-000096000000}"/>
    <hyperlink ref="B169" location="Arytmi!C49" tooltip="Gå till Arytmi, rad 49" display="16" xr:uid="{00000000-0004-0000-0900-000097000000}"/>
    <hyperlink ref="B170" location="Arytmi!C50" tooltip="Gå till Arytmi, rad 50" display="17" xr:uid="{00000000-0004-0000-0900-000098000000}"/>
    <hyperlink ref="B171" location="Arytmi!C51" tooltip="Gå till Arytmi, rad 51" display="18" xr:uid="{00000000-0004-0000-0900-000099000000}"/>
    <hyperlink ref="B172" location="Arytmi!C52" tooltip="Gå till Arytmi, rad 52" display="19" xr:uid="{00000000-0004-0000-0900-00009A000000}"/>
    <hyperlink ref="B173" location="Arytmi!C53" tooltip="Gå till Arytmi, rad 53" display="20" xr:uid="{00000000-0004-0000-0900-00009B000000}"/>
    <hyperlink ref="B174" location="Arytmi!C54" tooltip="Gå till Arytmi, rad 54" display="21" xr:uid="{00000000-0004-0000-0900-00009C000000}"/>
    <hyperlink ref="B175" location="Arytmi!C55" tooltip="Gå till Arytmi, rad 55" display="22" xr:uid="{00000000-0004-0000-0900-00009D000000}"/>
    <hyperlink ref="B176" location="Arytmi!C56" tooltip="Gå till Arytmi, rad 56" display="23" xr:uid="{00000000-0004-0000-0900-00009E000000}"/>
    <hyperlink ref="B177" location="Arytmi!C57" tooltip="Gå till Arytmi, rad 57" display="24" xr:uid="{00000000-0004-0000-0900-00009F000000}"/>
    <hyperlink ref="B178" location="Arytmi!C59" tooltip="Gå till Arytmi, rad 59" display="25" xr:uid="{00000000-0004-0000-0900-0000A0000000}"/>
    <hyperlink ref="B179" location="Arytmi!C60" tooltip="Gå till Arytmi, rad 60" display="26" xr:uid="{00000000-0004-0000-0900-0000A1000000}"/>
    <hyperlink ref="B180" location="Arytmi!C61" tooltip="Gå till Arytmi, rad 61" display="27" xr:uid="{00000000-0004-0000-0900-0000A2000000}"/>
    <hyperlink ref="B181" location="Arytmi!C62" tooltip="Gå till Arytmi, rad 62" display="28" xr:uid="{00000000-0004-0000-0900-0000A3000000}"/>
    <hyperlink ref="B182" location="Arytmi!C63" tooltip="Gå till Arytmi, rad 63" display="29" xr:uid="{00000000-0004-0000-0900-0000A4000000}"/>
    <hyperlink ref="B183" location="Arytmi!C65" tooltip="Gå till Arytmi, rad 65" display="30" xr:uid="{00000000-0004-0000-0900-0000A5000000}"/>
    <hyperlink ref="B184" location="Arytmi!C66" tooltip="Gå till Arytmi, rad 66" display="31" xr:uid="{00000000-0004-0000-0900-0000A6000000}"/>
    <hyperlink ref="B185" location="Arytmi!C67" tooltip="Gå till Arytmi, rad 67" display="32" xr:uid="{00000000-0004-0000-0900-0000A7000000}"/>
    <hyperlink ref="B186" location="Arytmi!C68" tooltip="Gå till Arytmi, rad 68" display="33" xr:uid="{00000000-0004-0000-0900-0000A8000000}"/>
    <hyperlink ref="B187" location="Arytmi!C69" tooltip="Gå till Arytmi, rad 69" display="34" xr:uid="{00000000-0004-0000-0900-0000A9000000}"/>
    <hyperlink ref="B188" location="Arytmi!C70" tooltip="Gå till Arytmi, rad 70" display="35" xr:uid="{00000000-0004-0000-0900-0000AA000000}"/>
    <hyperlink ref="B189" location="Arytmi!C71" tooltip="Gå till Arytmi, rad 71" display="36" xr:uid="{00000000-0004-0000-0900-0000AB000000}"/>
    <hyperlink ref="B190" location="Arytmi!C72" tooltip="Gå till Arytmi, rad 72" display="37" xr:uid="{00000000-0004-0000-0900-0000AC000000}"/>
    <hyperlink ref="B191" location="Arytmi!C73" tooltip="Gå till Arytmi, rad 73" display="38" xr:uid="{00000000-0004-0000-0900-0000AD000000}"/>
    <hyperlink ref="B192" location="Arytmi!C75" tooltip="Gå till Arytmi, rad 75" display="39" xr:uid="{00000000-0004-0000-0900-0000AE000000}"/>
    <hyperlink ref="B193" location="Arytmi!C76" tooltip="Gå till Arytmi, rad 76" display="40" xr:uid="{00000000-0004-0000-0900-0000AF000000}"/>
    <hyperlink ref="B194" location="Arytmi!C77" tooltip="Gå till Arytmi, rad 77" display="41" xr:uid="{00000000-0004-0000-0900-0000B0000000}"/>
    <hyperlink ref="B195" location="Arytmi!C78" tooltip="Gå till Arytmi, rad 78" display="42" xr:uid="{00000000-0004-0000-0900-0000B1000000}"/>
    <hyperlink ref="B197" location="Arytmi!C24" tooltip="Gå till Arytmi, rad 24" display="1" xr:uid="{00000000-0004-0000-0900-0000B2000000}"/>
    <hyperlink ref="B198" location="Arytmi!C25" tooltip="Gå till Arytmi, rad 25" display="2" xr:uid="{00000000-0004-0000-0900-0000B3000000}"/>
    <hyperlink ref="B199" location="Arytmi!C26" tooltip="Gå till Arytmi, rad 26" display="3" xr:uid="{00000000-0004-0000-0900-0000B4000000}"/>
    <hyperlink ref="B200" location="Arytmi!C27" tooltip="Gå till Arytmi, rad 27" display="4" xr:uid="{00000000-0004-0000-0900-0000B5000000}"/>
  </hyperlinks>
  <pageMargins left="0.4" right="0.4" top="0.5" bottom="0.5" header="0.3" footer="0.3"/>
  <pageSetup paperSize="9" fitToHeight="0"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Macintosh Excel</Application>
  <DocSecurity>0</DocSecurity>
  <ScaleCrop>false</ScaleCrop>
  <HeadingPairs>
    <vt:vector size="4" baseType="variant">
      <vt:variant>
        <vt:lpstr>Kalkylblad</vt:lpstr>
      </vt:variant>
      <vt:variant>
        <vt:i4>11</vt:i4>
      </vt:variant>
      <vt:variant>
        <vt:lpstr>Namngivna områden</vt:lpstr>
      </vt:variant>
      <vt:variant>
        <vt:i4>8</vt:i4>
      </vt:variant>
    </vt:vector>
  </HeadingPairs>
  <TitlesOfParts>
    <vt:vector size="19" baseType="lpstr">
      <vt:lpstr>Bakgrund</vt:lpstr>
      <vt:lpstr>Dashboard</vt:lpstr>
      <vt:lpstr>Ej klara</vt:lpstr>
      <vt:lpstr>Tid &amp; placeringar</vt:lpstr>
      <vt:lpstr>Ischemi</vt:lpstr>
      <vt:lpstr>HIA</vt:lpstr>
      <vt:lpstr>Hjärtsvikt &amp; klaff</vt:lpstr>
      <vt:lpstr>Arytmi</vt:lpstr>
      <vt:lpstr>Delmål internmedicin</vt:lpstr>
      <vt:lpstr>Delmål kardiologi</vt:lpstr>
      <vt:lpstr>Källor SvKF 2022</vt:lpstr>
      <vt:lpstr>ST_LANGD</vt:lpstr>
      <vt:lpstr>UPPEHALL_DAGAR</vt:lpstr>
      <vt:lpstr>UPPEHALL_HITTILLS</vt:lpstr>
      <vt:lpstr>Arytmi!Utskriftsområde</vt:lpstr>
      <vt:lpstr>HIA!Utskriftsområde</vt:lpstr>
      <vt:lpstr>'Hjärtsvikt &amp; klaff'!Utskriftsområde</vt:lpstr>
      <vt:lpstr>Ischemi!Utskriftsområde</vt:lpstr>
      <vt:lpstr>'Källor SvKF 2022'!Utskriftsrubriker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ST_kardiologi_tracker</dc:title>
  <dc:subject/>
  <dc:creator>Rozh Kader</dc:creator>
  <cp:keywords/>
  <dc:description>Ett interaktivt verktyg skapad av ST-läkare Rozh Kader för ST-läkare inom kardiologi. Syftet är att följa sin progression under sin ST. </dc:description>
  <cp:lastModifiedBy>Rozh Kader</cp:lastModifiedBy>
  <cp:revision>0</cp:revision>
  <dcterms:created xsi:type="dcterms:W3CDTF">2026-04-27T22:15:52Z</dcterms:created>
  <dcterms:modified xsi:type="dcterms:W3CDTF">2026-10-18T16:03:41Z</dcterms:modified>
  <cp:category/>
  <dc:language>en-US</dc:language>
</cp:coreProperties>
</file>